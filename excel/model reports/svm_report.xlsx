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ML\Fake News Detection\excel\model reports\"/>
    </mc:Choice>
  </mc:AlternateContent>
  <xr:revisionPtr revIDLastSave="0" documentId="13_ncr:1_{68864131-ED67-4907-83E0-B277E8C2470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 i="1" l="1"/>
  <c r="I36" i="1"/>
  <c r="J36" i="1"/>
  <c r="K36" i="1"/>
  <c r="H24" i="1"/>
  <c r="I24" i="1"/>
  <c r="J24" i="1"/>
  <c r="K24" i="1"/>
  <c r="H25" i="1"/>
  <c r="I25" i="1"/>
  <c r="J25" i="1"/>
  <c r="K25" i="1"/>
  <c r="H26" i="1"/>
  <c r="I26" i="1"/>
  <c r="J26" i="1"/>
  <c r="K26" i="1"/>
  <c r="H27" i="1"/>
  <c r="I27" i="1"/>
  <c r="J27" i="1"/>
  <c r="K27" i="1"/>
  <c r="H28" i="1"/>
  <c r="I28" i="1"/>
  <c r="J28" i="1"/>
  <c r="K28" i="1"/>
  <c r="H29" i="1"/>
  <c r="I29" i="1"/>
  <c r="J29" i="1"/>
  <c r="K29" i="1"/>
  <c r="H30" i="1"/>
  <c r="I30" i="1"/>
  <c r="J30" i="1"/>
  <c r="K30" i="1"/>
  <c r="H31" i="1"/>
  <c r="I31" i="1"/>
  <c r="J31" i="1"/>
  <c r="K31" i="1"/>
  <c r="H32" i="1"/>
  <c r="I32" i="1"/>
  <c r="J32" i="1"/>
  <c r="K32" i="1"/>
  <c r="H33" i="1"/>
  <c r="I33" i="1"/>
  <c r="J33" i="1"/>
  <c r="K33" i="1"/>
  <c r="H34" i="1"/>
  <c r="I34" i="1"/>
  <c r="J34" i="1"/>
  <c r="K34" i="1"/>
  <c r="H35" i="1"/>
  <c r="I35" i="1"/>
  <c r="J35" i="1"/>
  <c r="K35" i="1"/>
  <c r="K3" i="1"/>
  <c r="J3" i="1"/>
  <c r="I3" i="1"/>
  <c r="H3" i="1"/>
</calcChain>
</file>

<file path=xl/sharedStrings.xml><?xml version="1.0" encoding="utf-8"?>
<sst xmlns="http://schemas.openxmlformats.org/spreadsheetml/2006/main" count="56" uniqueCount="33">
  <si>
    <t>model</t>
  </si>
  <si>
    <t>C</t>
  </si>
  <si>
    <t>gamma</t>
  </si>
  <si>
    <t>accuracy</t>
  </si>
  <si>
    <t>precision</t>
  </si>
  <si>
    <t>recall</t>
  </si>
  <si>
    <t>f1</t>
  </si>
  <si>
    <t>Baseline(predicting the most common class)</t>
  </si>
  <si>
    <t>LinearSVC</t>
  </si>
  <si>
    <t>Rbf</t>
  </si>
  <si>
    <t>accuracy increase</t>
  </si>
  <si>
    <t>precision increase</t>
  </si>
  <si>
    <t>recall increase</t>
  </si>
  <si>
    <t>f1 increase</t>
  </si>
  <si>
    <t>Comments</t>
  </si>
  <si>
    <t>Our baseline model(predicting most common class)</t>
  </si>
  <si>
    <t>First experiment using linear kernel and only the statement column with tfidf vectorizer</t>
  </si>
  <si>
    <t>First experiment using rbf kernel, only trained on 1000 samples</t>
  </si>
  <si>
    <t>The same experiment as above, but trained on 2000 samples, noticable improvement</t>
  </si>
  <si>
    <t>Here is the trained model on the whole train dataset and it gives us a very decent score having in mind it only uses the statement column</t>
  </si>
  <si>
    <t xml:space="preserve">Here we tried removing stopwords, and it looks successful, our best model </t>
  </si>
  <si>
    <t>The same experiment, but with Count vectorizing instead of tf-ifd. It looks like the model needs weights to the different words to work properly</t>
  </si>
  <si>
    <t>We tried to combine the model with the other features, but there is clear decrease in scores</t>
  </si>
  <si>
    <t>We only used the three most important features based on our random forest experiments, but we can conclude that adding other features to the statement column is not benefitial, because it looks like the model doesn’t find the patterns in the metadata</t>
  </si>
  <si>
    <t>Using only statement column again, but trying to stem words, it doesn’t give us an improvement</t>
  </si>
  <si>
    <t xml:space="preserve">Trying bigrams, but again, we cannot see real improvement </t>
  </si>
  <si>
    <t>Best model</t>
  </si>
  <si>
    <t>Not great overall results, but when it comes to only judging by the statement column, we see that is relatively good at predicting</t>
  </si>
  <si>
    <t>We see that it confuses the classes, the most distinguished class is 1, but overally not great.</t>
  </si>
  <si>
    <t>The model uses the statement column with tfidf vectorizer and removed stopwords</t>
  </si>
  <si>
    <t>Almost last experiment, limiting used words to 1000, but the model may need the whole data of words to get its best performance</t>
  </si>
  <si>
    <t>This experiment tried to combine the features again but with scaling, looks like it does not contribute that much</t>
  </si>
  <si>
    <t>By the roc curve we can tell that it is not much better than randonmly guessing a class, however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</si>
</sst>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name val="Calibri"/>
      <family val="2"/>
    </font>
    <font>
      <sz val="11"/>
      <color rgb="FFFF0000"/>
      <name val="Calibri"/>
      <family val="2"/>
      <scheme val="minor"/>
    </font>
    <font>
      <sz val="11"/>
      <name val="Calibri"/>
      <family val="2"/>
      <scheme val="minor"/>
    </font>
    <font>
      <sz val="8"/>
      <name val="Calibri"/>
      <family val="2"/>
      <scheme val="minor"/>
    </font>
  </fonts>
  <fills count="4">
    <fill>
      <patternFill patternType="none"/>
    </fill>
    <fill>
      <patternFill patternType="gray125"/>
    </fill>
    <fill>
      <patternFill patternType="solid">
        <fgColor theme="5"/>
        <bgColor theme="5"/>
      </patternFill>
    </fill>
    <fill>
      <patternFill patternType="solid">
        <fgColor theme="5" tint="0.79998168889431442"/>
        <bgColor theme="5" tint="0.79998168889431442"/>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164" fontId="0" fillId="0" borderId="0" xfId="0" applyNumberFormat="1"/>
    <xf numFmtId="0" fontId="0" fillId="3" borderId="4" xfId="0" applyFill="1" applyBorder="1"/>
    <xf numFmtId="0" fontId="0" fillId="3" borderId="5" xfId="0" applyFill="1" applyBorder="1"/>
    <xf numFmtId="164" fontId="0" fillId="3" borderId="5" xfId="0" applyNumberFormat="1" applyFill="1" applyBorder="1"/>
    <xf numFmtId="0" fontId="2" fillId="0" borderId="0" xfId="0" applyFont="1"/>
    <xf numFmtId="0" fontId="1" fillId="2" borderId="1" xfId="0" applyFont="1" applyFill="1" applyBorder="1" applyAlignment="1">
      <alignment horizontal="center" vertical="top"/>
    </xf>
    <xf numFmtId="0" fontId="1" fillId="2" borderId="3" xfId="0" applyFont="1" applyFill="1" applyBorder="1" applyAlignment="1">
      <alignment horizontal="center" vertical="top"/>
    </xf>
    <xf numFmtId="0" fontId="3" fillId="0" borderId="0" xfId="0" applyFont="1"/>
    <xf numFmtId="164" fontId="4" fillId="0" borderId="0" xfId="0" applyNumberFormat="1" applyFont="1"/>
  </cellXfs>
  <cellStyles count="1">
    <cellStyle name="Normal" xfId="0" builtinId="0"/>
  </cellStyles>
  <dxfs count="9">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font>
        <b/>
        <i val="0"/>
        <strike val="0"/>
        <condense val="0"/>
        <extend val="0"/>
        <outline val="0"/>
        <shadow val="0"/>
        <u val="none"/>
        <vertAlign val="baseline"/>
        <sz val="11"/>
        <color auto="1"/>
        <name val="Calibri"/>
        <family val="2"/>
        <scheme val="none"/>
      </font>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136478</xdr:colOff>
      <xdr:row>0</xdr:row>
      <xdr:rowOff>0</xdr:rowOff>
    </xdr:from>
    <xdr:to>
      <xdr:col>11</xdr:col>
      <xdr:colOff>4651612</xdr:colOff>
      <xdr:row>21</xdr:row>
      <xdr:rowOff>127023</xdr:rowOff>
    </xdr:to>
    <xdr:pic>
      <xdr:nvPicPr>
        <xdr:cNvPr id="2" name="Picture 1">
          <a:extLst>
            <a:ext uri="{FF2B5EF4-FFF2-40B4-BE49-F238E27FC236}">
              <a16:creationId xmlns:a16="http://schemas.microsoft.com/office/drawing/2014/main" id="{69AD5F2E-5AE3-FC2A-33C5-E8D7823A11E5}"/>
            </a:ext>
          </a:extLst>
        </xdr:cNvPr>
        <xdr:cNvPicPr>
          <a:picLocks noChangeAspect="1"/>
        </xdr:cNvPicPr>
      </xdr:nvPicPr>
      <xdr:blipFill>
        <a:blip xmlns:r="http://schemas.openxmlformats.org/officeDocument/2006/relationships" r:embed="rId1"/>
        <a:stretch>
          <a:fillRect/>
        </a:stretch>
      </xdr:blipFill>
      <xdr:spPr>
        <a:xfrm>
          <a:off x="11157045" y="0"/>
          <a:ext cx="4515134" cy="3971142"/>
        </a:xfrm>
        <a:prstGeom prst="rect">
          <a:avLst/>
        </a:prstGeom>
      </xdr:spPr>
    </xdr:pic>
    <xdr:clientData/>
  </xdr:twoCellAnchor>
  <xdr:twoCellAnchor editAs="oneCell">
    <xdr:from>
      <xdr:col>11</xdr:col>
      <xdr:colOff>5402239</xdr:colOff>
      <xdr:row>0</xdr:row>
      <xdr:rowOff>1</xdr:rowOff>
    </xdr:from>
    <xdr:to>
      <xdr:col>11</xdr:col>
      <xdr:colOff>10664736</xdr:colOff>
      <xdr:row>20</xdr:row>
      <xdr:rowOff>11374</xdr:rowOff>
    </xdr:to>
    <xdr:pic>
      <xdr:nvPicPr>
        <xdr:cNvPr id="3" name="Picture 2">
          <a:extLst>
            <a:ext uri="{FF2B5EF4-FFF2-40B4-BE49-F238E27FC236}">
              <a16:creationId xmlns:a16="http://schemas.microsoft.com/office/drawing/2014/main" id="{2D6E824D-D60D-52E4-0CA1-D554B4BBDCC0}"/>
            </a:ext>
          </a:extLst>
        </xdr:cNvPr>
        <xdr:cNvPicPr>
          <a:picLocks noChangeAspect="1"/>
        </xdr:cNvPicPr>
      </xdr:nvPicPr>
      <xdr:blipFill>
        <a:blip xmlns:r="http://schemas.openxmlformats.org/officeDocument/2006/relationships" r:embed="rId2"/>
        <a:stretch>
          <a:fillRect/>
        </a:stretch>
      </xdr:blipFill>
      <xdr:spPr>
        <a:xfrm>
          <a:off x="16638896" y="1"/>
          <a:ext cx="5262497" cy="367352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6F1B69-3E47-401A-B5D1-55D3DF8986FE}" name="Table1" displayName="Table1" ref="A23:L36" totalsRowShown="0" headerRowDxfId="8">
  <autoFilter ref="A23:L36" xr:uid="{B36F1B69-3E47-401A-B5D1-55D3DF8986FE}"/>
  <tableColumns count="12">
    <tableColumn id="1" xr3:uid="{B170FAAB-F2BD-4F7B-903C-016F08397302}" name="model"/>
    <tableColumn id="2" xr3:uid="{0A94DF4E-D515-4204-A7A3-219F17127065}" name="C"/>
    <tableColumn id="3" xr3:uid="{272C89E6-D9D1-4BBC-A850-A5C52DDB372F}" name="gamma"/>
    <tableColumn id="4" xr3:uid="{E692F976-71D7-4900-8744-971B577E80C1}" name="accuracy" dataDxfId="7"/>
    <tableColumn id="5" xr3:uid="{4024CFED-6FAE-4EA3-8F86-B63144093D18}" name="precision" dataDxfId="6"/>
    <tableColumn id="6" xr3:uid="{F11D5687-2D1D-44F1-9AE6-D735B977681A}" name="recall" dataDxfId="5"/>
    <tableColumn id="7" xr3:uid="{138650B8-961E-46FA-BC33-7348400AD570}" name="f1" dataDxfId="4"/>
    <tableColumn id="8" xr3:uid="{211D941D-7998-4E6C-8E16-ECED6A83C345}" name="accuracy increase" dataDxfId="3">
      <calculatedColumnFormula>100*(D24-$D$24)/$D$24</calculatedColumnFormula>
    </tableColumn>
    <tableColumn id="9" xr3:uid="{61A29981-2403-4E34-B883-90CD6CFC4DD3}" name="precision increase" dataDxfId="2">
      <calculatedColumnFormula>100*(E24-$E$24)/$E$24</calculatedColumnFormula>
    </tableColumn>
    <tableColumn id="10" xr3:uid="{01D8FD21-27CD-4F49-A998-E77C04679593}" name="recall increase" dataDxfId="1">
      <calculatedColumnFormula>100*(F24-$F$24)/$F$24</calculatedColumnFormula>
    </tableColumn>
    <tableColumn id="11" xr3:uid="{C3E14170-2144-41FA-9259-6CAEF538DE5F}" name="f1 increase" dataDxfId="0">
      <calculatedColumnFormula>100*(G24-$G$24)/$G$24</calculatedColumnFormula>
    </tableColumn>
    <tableColumn id="12" xr3:uid="{51B59546-C65E-415E-A756-762B2798D883}" name="Comments"/>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6"/>
  <sheetViews>
    <sheetView tabSelected="1" zoomScale="67" workbookViewId="0">
      <selection activeCell="A9" sqref="A9"/>
    </sheetView>
  </sheetViews>
  <sheetFormatPr defaultRowHeight="14.4" x14ac:dyDescent="0.3"/>
  <cols>
    <col min="1" max="1" width="15.6640625" customWidth="1"/>
    <col min="3" max="3" width="9.21875" customWidth="1"/>
    <col min="4" max="4" width="10.33203125" customWidth="1"/>
    <col min="5" max="5" width="10.44140625" customWidth="1"/>
    <col min="6" max="6" width="11.33203125" bestFit="1" customWidth="1"/>
    <col min="7" max="7" width="11.109375" bestFit="1" customWidth="1"/>
    <col min="8" max="8" width="23" customWidth="1"/>
    <col min="9" max="9" width="20.109375" customWidth="1"/>
    <col min="10" max="10" width="27.6640625" customWidth="1"/>
    <col min="11" max="11" width="16.109375" customWidth="1"/>
    <col min="12" max="12" width="233.109375" customWidth="1"/>
  </cols>
  <sheetData>
    <row r="1" spans="1:11" x14ac:dyDescent="0.3">
      <c r="A1" s="7" t="s">
        <v>26</v>
      </c>
    </row>
    <row r="2" spans="1:11" ht="15" thickBot="1" x14ac:dyDescent="0.35">
      <c r="A2" s="8" t="s">
        <v>0</v>
      </c>
      <c r="B2" s="8" t="s">
        <v>1</v>
      </c>
      <c r="C2" s="8" t="s">
        <v>2</v>
      </c>
      <c r="D2" s="8" t="s">
        <v>3</v>
      </c>
      <c r="E2" s="8" t="s">
        <v>4</v>
      </c>
      <c r="F2" s="8" t="s">
        <v>5</v>
      </c>
      <c r="G2" s="8" t="s">
        <v>6</v>
      </c>
      <c r="H2" s="9" t="s">
        <v>10</v>
      </c>
      <c r="I2" s="9" t="s">
        <v>11</v>
      </c>
      <c r="J2" s="9" t="s">
        <v>12</v>
      </c>
      <c r="K2" s="9" t="s">
        <v>13</v>
      </c>
    </row>
    <row r="3" spans="1:11" ht="15" thickTop="1" x14ac:dyDescent="0.3">
      <c r="A3" s="4" t="s">
        <v>9</v>
      </c>
      <c r="B3" s="5">
        <v>1</v>
      </c>
      <c r="C3" s="5">
        <v>1</v>
      </c>
      <c r="D3" s="6">
        <v>0.26361483820047349</v>
      </c>
      <c r="E3" s="6">
        <v>0.26439917712327182</v>
      </c>
      <c r="F3" s="6">
        <v>0.26361483820047349</v>
      </c>
      <c r="G3" s="6">
        <v>0.26054795139614051</v>
      </c>
      <c r="H3" s="6">
        <f>100*(D3-$D$24)/$D$24</f>
        <v>28.355439490759636</v>
      </c>
      <c r="I3" s="6">
        <f>100*(E3-$E$24)/$E$24</f>
        <v>526.82881345647945</v>
      </c>
      <c r="J3" s="6">
        <f>100*(F3-$F$24)/$F$24</f>
        <v>28.355439490759636</v>
      </c>
      <c r="K3" s="6">
        <f>100*(G3-$G$24)/$G$24</f>
        <v>272.28030567445745</v>
      </c>
    </row>
    <row r="4" spans="1:11" x14ac:dyDescent="0.3">
      <c r="A4" t="s">
        <v>14</v>
      </c>
    </row>
    <row r="5" spans="1:11" x14ac:dyDescent="0.3">
      <c r="A5" t="s">
        <v>27</v>
      </c>
    </row>
    <row r="6" spans="1:11" x14ac:dyDescent="0.3">
      <c r="A6" t="s">
        <v>28</v>
      </c>
    </row>
    <row r="7" spans="1:11" x14ac:dyDescent="0.3">
      <c r="A7" t="s">
        <v>29</v>
      </c>
    </row>
    <row r="8" spans="1:11" x14ac:dyDescent="0.3">
      <c r="A8" t="s">
        <v>32</v>
      </c>
    </row>
    <row r="23" spans="1:12" x14ac:dyDescent="0.3">
      <c r="A23" s="1" t="s">
        <v>0</v>
      </c>
      <c r="B23" s="1" t="s">
        <v>1</v>
      </c>
      <c r="C23" s="1" t="s">
        <v>2</v>
      </c>
      <c r="D23" s="1" t="s">
        <v>3</v>
      </c>
      <c r="E23" s="1" t="s">
        <v>4</v>
      </c>
      <c r="F23" s="1" t="s">
        <v>5</v>
      </c>
      <c r="G23" s="1" t="s">
        <v>6</v>
      </c>
      <c r="H23" s="2" t="s">
        <v>10</v>
      </c>
      <c r="I23" s="2" t="s">
        <v>11</v>
      </c>
      <c r="J23" s="2" t="s">
        <v>12</v>
      </c>
      <c r="K23" s="2" t="s">
        <v>13</v>
      </c>
      <c r="L23" s="2" t="s">
        <v>14</v>
      </c>
    </row>
    <row r="24" spans="1:12" x14ac:dyDescent="0.3">
      <c r="A24" t="s">
        <v>7</v>
      </c>
      <c r="D24" s="3">
        <v>0.20537878195606291</v>
      </c>
      <c r="E24" s="3">
        <v>4.2180444077756007E-2</v>
      </c>
      <c r="F24" s="3">
        <v>0.20537878195606291</v>
      </c>
      <c r="G24" s="3">
        <v>6.9987035957786631E-2</v>
      </c>
      <c r="H24" s="3">
        <f>100*(D24-$D$24)/$D$24</f>
        <v>0</v>
      </c>
      <c r="I24" s="3">
        <f>100*(E24-$E$24)/$E$24</f>
        <v>0</v>
      </c>
      <c r="J24" s="3">
        <f>100*(F24-$F$24)/$F$24</f>
        <v>0</v>
      </c>
      <c r="K24" s="3">
        <f>100*(G24-$G$24)/$G$24</f>
        <v>0</v>
      </c>
      <c r="L24" t="s">
        <v>15</v>
      </c>
    </row>
    <row r="25" spans="1:12" x14ac:dyDescent="0.3">
      <c r="A25" t="s">
        <v>8</v>
      </c>
      <c r="B25">
        <v>10</v>
      </c>
      <c r="D25" s="3">
        <v>0.23204419889502759</v>
      </c>
      <c r="E25" s="3">
        <v>0.2327200169605288</v>
      </c>
      <c r="F25" s="3">
        <v>0.23204419889502759</v>
      </c>
      <c r="G25" s="3">
        <v>0.23177881567861769</v>
      </c>
      <c r="H25" s="3">
        <f t="shared" ref="H25:H35" si="0">100*(D25-$D$24)/$D$24</f>
        <v>12.983530569710588</v>
      </c>
      <c r="I25" s="3">
        <f t="shared" ref="I25:I35" si="1">100*(E25-$E$24)/$E$24</f>
        <v>451.72490960865542</v>
      </c>
      <c r="J25" s="3">
        <f t="shared" ref="J25:J35" si="2">100*(F25-$F$24)/$F$24</f>
        <v>12.983530569710588</v>
      </c>
      <c r="K25" s="3">
        <f t="shared" ref="K25:K35" si="3">100*(G25-$G$24)/$G$24</f>
        <v>231.17392743767198</v>
      </c>
      <c r="L25" t="s">
        <v>16</v>
      </c>
    </row>
    <row r="26" spans="1:12" x14ac:dyDescent="0.3">
      <c r="A26" t="s">
        <v>9</v>
      </c>
      <c r="B26">
        <v>10</v>
      </c>
      <c r="C26">
        <v>1</v>
      </c>
      <c r="D26" s="3">
        <v>0.22336227308602999</v>
      </c>
      <c r="E26" s="3">
        <v>0.22204506074519539</v>
      </c>
      <c r="F26" s="3">
        <v>0.22336227308602999</v>
      </c>
      <c r="G26" s="3">
        <v>0.20740060999664309</v>
      </c>
      <c r="H26" s="3">
        <f t="shared" si="0"/>
        <v>8.7562556164221128</v>
      </c>
      <c r="I26" s="3">
        <f t="shared" si="1"/>
        <v>426.4170769180962</v>
      </c>
      <c r="J26" s="3">
        <f t="shared" si="2"/>
        <v>8.7562556164221128</v>
      </c>
      <c r="K26" s="3">
        <f t="shared" si="3"/>
        <v>196.34146832813266</v>
      </c>
      <c r="L26" t="s">
        <v>17</v>
      </c>
    </row>
    <row r="27" spans="1:12" x14ac:dyDescent="0.3">
      <c r="A27" t="s">
        <v>9</v>
      </c>
      <c r="B27">
        <v>1</v>
      </c>
      <c r="C27">
        <v>1</v>
      </c>
      <c r="D27" s="3">
        <v>0.25493291239147592</v>
      </c>
      <c r="E27" s="3">
        <v>0.2596834176051197</v>
      </c>
      <c r="F27" s="3">
        <v>0.25493291239147592</v>
      </c>
      <c r="G27" s="3">
        <v>0.24688324089923461</v>
      </c>
      <c r="H27" s="3">
        <f t="shared" si="0"/>
        <v>24.128164537471172</v>
      </c>
      <c r="I27" s="3">
        <f t="shared" si="1"/>
        <v>515.64884695480146</v>
      </c>
      <c r="J27" s="3">
        <f t="shared" si="2"/>
        <v>24.128164537471172</v>
      </c>
      <c r="K27" s="3">
        <f t="shared" si="3"/>
        <v>252.75567470544783</v>
      </c>
      <c r="L27" t="s">
        <v>18</v>
      </c>
    </row>
    <row r="28" spans="1:12" x14ac:dyDescent="0.3">
      <c r="A28" t="s">
        <v>9</v>
      </c>
      <c r="B28">
        <v>1</v>
      </c>
      <c r="C28">
        <v>1</v>
      </c>
      <c r="D28" s="3">
        <v>0.25966850828729282</v>
      </c>
      <c r="E28" s="3">
        <v>0.26053506568283408</v>
      </c>
      <c r="F28" s="3">
        <v>0.25966850828729282</v>
      </c>
      <c r="G28" s="3">
        <v>0.25777565325985891</v>
      </c>
      <c r="H28" s="3">
        <f t="shared" si="0"/>
        <v>26.433950875628536</v>
      </c>
      <c r="I28" s="3">
        <f t="shared" si="1"/>
        <v>517.66790601483513</v>
      </c>
      <c r="J28" s="3">
        <f t="shared" si="2"/>
        <v>26.433950875628536</v>
      </c>
      <c r="K28" s="3">
        <f t="shared" si="3"/>
        <v>268.31914615635219</v>
      </c>
      <c r="L28" t="s">
        <v>19</v>
      </c>
    </row>
    <row r="29" spans="1:12" x14ac:dyDescent="0.3">
      <c r="A29" t="s">
        <v>9</v>
      </c>
      <c r="B29">
        <v>1</v>
      </c>
      <c r="C29">
        <v>1</v>
      </c>
      <c r="D29" s="3">
        <v>0.26361483820047349</v>
      </c>
      <c r="E29" s="3">
        <v>0.26439917712327182</v>
      </c>
      <c r="F29" s="3">
        <v>0.26361483820047349</v>
      </c>
      <c r="G29" s="3">
        <v>0.26054795139614051</v>
      </c>
      <c r="H29" s="3">
        <f t="shared" si="0"/>
        <v>28.355439490759636</v>
      </c>
      <c r="I29" s="3">
        <f t="shared" si="1"/>
        <v>526.82881345647945</v>
      </c>
      <c r="J29" s="3">
        <f t="shared" si="2"/>
        <v>28.355439490759636</v>
      </c>
      <c r="K29" s="3">
        <f t="shared" si="3"/>
        <v>272.28030567445745</v>
      </c>
      <c r="L29" t="s">
        <v>20</v>
      </c>
    </row>
    <row r="30" spans="1:12" x14ac:dyDescent="0.3">
      <c r="A30" t="s">
        <v>9</v>
      </c>
      <c r="B30">
        <v>1</v>
      </c>
      <c r="C30">
        <v>1</v>
      </c>
      <c r="D30" s="3">
        <v>0.20126282557221781</v>
      </c>
      <c r="E30" s="3">
        <v>0.5168488350965309</v>
      </c>
      <c r="F30" s="3">
        <v>0.20126282557221781</v>
      </c>
      <c r="G30" s="3">
        <v>9.0008758909623329E-2</v>
      </c>
      <c r="H30" s="3">
        <f t="shared" si="0"/>
        <v>-2.0040806283122437</v>
      </c>
      <c r="I30" s="3">
        <f t="shared" si="1"/>
        <v>1125.3281026244406</v>
      </c>
      <c r="J30" s="3">
        <f t="shared" si="2"/>
        <v>-2.0040806283122437</v>
      </c>
      <c r="K30" s="3">
        <f t="shared" si="3"/>
        <v>28.607759534084281</v>
      </c>
      <c r="L30" t="s">
        <v>21</v>
      </c>
    </row>
    <row r="31" spans="1:12" x14ac:dyDescent="0.3">
      <c r="A31" t="s">
        <v>9</v>
      </c>
      <c r="B31">
        <v>1</v>
      </c>
      <c r="C31">
        <v>1</v>
      </c>
      <c r="D31" s="3">
        <v>0.25098658247829519</v>
      </c>
      <c r="E31" s="3">
        <v>0.48050406522279682</v>
      </c>
      <c r="F31" s="3">
        <v>0.25098658247829519</v>
      </c>
      <c r="G31" s="3">
        <v>0.15667790884898891</v>
      </c>
      <c r="H31" s="3">
        <f t="shared" si="0"/>
        <v>22.206675922340047</v>
      </c>
      <c r="I31" s="3">
        <f t="shared" si="1"/>
        <v>1039.1631257770284</v>
      </c>
      <c r="J31" s="3">
        <f t="shared" si="2"/>
        <v>22.206675922340047</v>
      </c>
      <c r="K31" s="3">
        <f t="shared" si="3"/>
        <v>123.86704438160623</v>
      </c>
      <c r="L31" t="s">
        <v>22</v>
      </c>
    </row>
    <row r="32" spans="1:12" x14ac:dyDescent="0.3">
      <c r="A32" t="s">
        <v>9</v>
      </c>
      <c r="B32">
        <v>1</v>
      </c>
      <c r="C32">
        <v>1</v>
      </c>
      <c r="D32" s="3">
        <v>0.19337016574585639</v>
      </c>
      <c r="E32" s="3">
        <v>0.18080289761616489</v>
      </c>
      <c r="F32" s="3">
        <v>0.19337016574585639</v>
      </c>
      <c r="G32" s="3">
        <v>0.17086148388543629</v>
      </c>
      <c r="H32" s="3">
        <f t="shared" si="0"/>
        <v>-5.8470578585744786</v>
      </c>
      <c r="I32" s="3">
        <f t="shared" si="1"/>
        <v>328.6415223198465</v>
      </c>
      <c r="J32" s="3">
        <f t="shared" si="2"/>
        <v>-5.8470578585744786</v>
      </c>
      <c r="K32" s="3">
        <f t="shared" si="3"/>
        <v>144.13304770971166</v>
      </c>
      <c r="L32" t="s">
        <v>23</v>
      </c>
    </row>
    <row r="33" spans="1:12" x14ac:dyDescent="0.3">
      <c r="A33" t="s">
        <v>9</v>
      </c>
      <c r="B33">
        <v>1</v>
      </c>
      <c r="C33">
        <v>1</v>
      </c>
      <c r="D33" s="3">
        <v>0.2557221783741121</v>
      </c>
      <c r="E33" s="3">
        <v>0.25751608730754899</v>
      </c>
      <c r="F33" s="3">
        <v>0.2557221783741121</v>
      </c>
      <c r="G33" s="3">
        <v>0.25493263365001162</v>
      </c>
      <c r="H33" s="3">
        <f t="shared" si="0"/>
        <v>24.512462260497415</v>
      </c>
      <c r="I33" s="3">
        <f t="shared" si="1"/>
        <v>510.51061205719009</v>
      </c>
      <c r="J33" s="3">
        <f t="shared" si="2"/>
        <v>24.512462260497415</v>
      </c>
      <c r="K33" s="3">
        <f t="shared" si="3"/>
        <v>264.25693724731639</v>
      </c>
      <c r="L33" t="s">
        <v>24</v>
      </c>
    </row>
    <row r="34" spans="1:12" x14ac:dyDescent="0.3">
      <c r="A34" t="s">
        <v>9</v>
      </c>
      <c r="B34">
        <v>1</v>
      </c>
      <c r="C34">
        <v>1</v>
      </c>
      <c r="D34" s="3">
        <v>0.25808997632202052</v>
      </c>
      <c r="E34" s="3">
        <v>0.26969075322213187</v>
      </c>
      <c r="F34" s="3">
        <v>0.25808997632202052</v>
      </c>
      <c r="G34" s="3">
        <v>0.2545148219111682</v>
      </c>
      <c r="H34" s="3">
        <f t="shared" si="0"/>
        <v>25.665355429576081</v>
      </c>
      <c r="I34" s="3">
        <f t="shared" si="1"/>
        <v>539.37390683934063</v>
      </c>
      <c r="J34" s="3">
        <f t="shared" si="2"/>
        <v>25.665355429576081</v>
      </c>
      <c r="K34" s="3">
        <f t="shared" si="3"/>
        <v>263.65995277279825</v>
      </c>
      <c r="L34" t="s">
        <v>25</v>
      </c>
    </row>
    <row r="35" spans="1:12" x14ac:dyDescent="0.3">
      <c r="A35" t="s">
        <v>9</v>
      </c>
      <c r="B35">
        <v>1</v>
      </c>
      <c r="C35">
        <v>1</v>
      </c>
      <c r="D35" s="3">
        <v>0.24230465666929751</v>
      </c>
      <c r="E35" s="3">
        <v>0.2494684956383838</v>
      </c>
      <c r="F35" s="3">
        <v>0.24230465666929751</v>
      </c>
      <c r="G35" s="3">
        <v>0.24375123472130461</v>
      </c>
      <c r="H35" s="3">
        <f t="shared" si="0"/>
        <v>17.979400969051532</v>
      </c>
      <c r="I35" s="3">
        <f t="shared" si="1"/>
        <v>491.43164822662885</v>
      </c>
      <c r="J35" s="3">
        <f t="shared" si="2"/>
        <v>17.979400969051532</v>
      </c>
      <c r="K35" s="3">
        <f t="shared" si="3"/>
        <v>248.28055137000737</v>
      </c>
      <c r="L35" t="s">
        <v>30</v>
      </c>
    </row>
    <row r="36" spans="1:12" x14ac:dyDescent="0.3">
      <c r="A36" s="10" t="s">
        <v>9</v>
      </c>
      <c r="B36" s="10">
        <v>1</v>
      </c>
      <c r="C36" s="10">
        <v>1</v>
      </c>
      <c r="D36" s="11">
        <v>0.228097868981846</v>
      </c>
      <c r="E36" s="11">
        <v>0.28623640499889003</v>
      </c>
      <c r="F36" s="11">
        <v>0.228097868981846</v>
      </c>
      <c r="G36" s="11">
        <v>0.18080695027923699</v>
      </c>
      <c r="H36" s="3">
        <f>100*(D36-$D$24)/$D$24</f>
        <v>11.062041954579044</v>
      </c>
      <c r="I36" s="3">
        <f>100*(E36-$E$24)/$E$24</f>
        <v>578.59979015687441</v>
      </c>
      <c r="J36" s="3">
        <f>100*(F36-$F$24)/$F$24</f>
        <v>11.062041954579044</v>
      </c>
      <c r="K36" s="3">
        <f>100*(G36-$G$24)/$G$24</f>
        <v>158.34348862593993</v>
      </c>
      <c r="L36" t="s">
        <v>31</v>
      </c>
    </row>
  </sheetData>
  <conditionalFormatting sqref="H3:K3">
    <cfRule type="colorScale" priority="1">
      <colorScale>
        <cfvo type="min"/>
        <cfvo type="percentile" val="50"/>
        <cfvo type="max"/>
        <color rgb="FFF8696B"/>
        <color rgb="FFFFEB84"/>
        <color rgb="FF63BE7B"/>
      </colorScale>
    </cfRule>
  </conditionalFormatting>
  <conditionalFormatting sqref="H24:K36">
    <cfRule type="colorScale" priority="3">
      <colorScale>
        <cfvo type="min"/>
        <cfvo type="percentile" val="50"/>
        <cfvo type="max"/>
        <color rgb="FFF8696B"/>
        <color rgb="FFFFEB84"/>
        <color rgb="FF63BE7B"/>
      </colorScale>
    </cfRule>
  </conditionalFormatting>
  <pageMargins left="0.75" right="0.75" top="1" bottom="1" header="0.5" footer="0.5"/>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Ivanov</cp:lastModifiedBy>
  <dcterms:created xsi:type="dcterms:W3CDTF">2026-02-11T11:25:03Z</dcterms:created>
  <dcterms:modified xsi:type="dcterms:W3CDTF">2026-02-12T13:41:39Z</dcterms:modified>
</cp:coreProperties>
</file>