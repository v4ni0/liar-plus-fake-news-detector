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L\Fake News Detection\excel\model reports\"/>
    </mc:Choice>
  </mc:AlternateContent>
  <xr:revisionPtr revIDLastSave="0" documentId="13_ncr:1_{E0602D0F-C1F8-433C-99CF-77DD29822AF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L2" i="1"/>
  <c r="K2" i="1"/>
  <c r="J2"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M28" i="1"/>
  <c r="L28" i="1"/>
  <c r="K28" i="1"/>
  <c r="J28" i="1"/>
</calcChain>
</file>

<file path=xl/sharedStrings.xml><?xml version="1.0" encoding="utf-8"?>
<sst xmlns="http://schemas.openxmlformats.org/spreadsheetml/2006/main" count="89" uniqueCount="49">
  <si>
    <t>model</t>
  </si>
  <si>
    <t>n_estimators</t>
  </si>
  <si>
    <t>max_depth</t>
  </si>
  <si>
    <t>learning_rate</t>
  </si>
  <si>
    <t>subsample</t>
  </si>
  <si>
    <t>accuracy</t>
  </si>
  <si>
    <t>precision</t>
  </si>
  <si>
    <t>recall</t>
  </si>
  <si>
    <t>f1</t>
  </si>
  <si>
    <t>Baseline(predicting the most common class)</t>
  </si>
  <si>
    <t>XGBoost</t>
  </si>
  <si>
    <t>Comments</t>
  </si>
  <si>
    <t>Baseline model</t>
  </si>
  <si>
    <t>Using all comments except statement, very promising results</t>
  </si>
  <si>
    <t>Trying to remove half_true, as it is correlated with others, worse results</t>
  </si>
  <si>
    <t>Using all num features only , very good results</t>
  </si>
  <si>
    <t>Removing half_true and barely_true, seems like we should use all correlated numerical columns</t>
  </si>
  <si>
    <t>Trying to remove only barely_true</t>
  </si>
  <si>
    <t>Using only context_group as cat columns, still without statement</t>
  </si>
  <si>
    <t>Same as the above but with state_category</t>
  </si>
  <si>
    <t>All numeric and cat columns except context_group, we see good results</t>
  </si>
  <si>
    <t>Only party_affiliation from tha cat columns and all numeric except half_true, wouldn’t say it is a great downgrade, but still a downgrade</t>
  </si>
  <si>
    <t>Here we start trying only analyzing the statement column, only tfidf vectorizing first</t>
  </si>
  <si>
    <t>Only count vectorizing, better results than tf-idf, we will mostly use count vectorizer in future experiments</t>
  </si>
  <si>
    <t>Again count vectorizing, but with removing stop words, the results do not see very promising</t>
  </si>
  <si>
    <t>Same as above but with applied stemming, here comes the improvement</t>
  </si>
  <si>
    <t>Same as above , complemented with n_grams=(1,2) param. It seems that it is not benefitial to our model</t>
  </si>
  <si>
    <t xml:space="preserve">We tried our best result of the statement column until now, count vectorization, removing stopwords and stemming, with the rest features, </t>
  </si>
  <si>
    <t>Limiting the usage of words to 1000 gives us good results actually, so limiting words may be key</t>
  </si>
  <si>
    <t>Limiting words to 100 improves previous score, we should try more limiting</t>
  </si>
  <si>
    <t>Limiting words to 10, better results</t>
  </si>
  <si>
    <t>We try increasing them a little to 20, but the results worsen a bit, so it may be better to use a small amount of words</t>
  </si>
  <si>
    <t>The same experiment, but with tf-idf vectorizer, seems count vectorizer is better</t>
  </si>
  <si>
    <t>We only use the num columns here, the results should be better, we should use cat columns</t>
  </si>
  <si>
    <t>Combining all cols here, with the best vectorization obtained till now gives us the second best result until now</t>
  </si>
  <si>
    <t>We give tfidf vectorization a last chance, but it gives us significantly lower scores</t>
  </si>
  <si>
    <t>We try limit of 20 words not 10, but the result is worse, so we will use 10 words limits</t>
  </si>
  <si>
    <t>Removing context_group, seems like it gives us worse results</t>
  </si>
  <si>
    <t>Only using state_category as categorical feature, we actually come very close</t>
  </si>
  <si>
    <t>accuracy increase</t>
  </si>
  <si>
    <t>precision increase</t>
  </si>
  <si>
    <t>recall increase</t>
  </si>
  <si>
    <t>f1 increase</t>
  </si>
  <si>
    <t>Removing half_true, because it could be giving bias, but we will definetely use it after seeing the scores</t>
  </si>
  <si>
    <t>Best model</t>
  </si>
  <si>
    <t>Our best model uses all features, median imputer and count vectorizer with stemming, removing stop words and limiting words to 10</t>
  </si>
  <si>
    <t>There is a model which gives us an insignificantly higher f1 score, we chose this because it uses the statement column, even though only 10 words, we will try Lstm and Gru to extract something from the statement column and potentially beat this score</t>
  </si>
  <si>
    <t>The diagonal of the confusion matrix is important, we see a very high accuracy there</t>
  </si>
  <si>
    <t xml:space="preserve">The roc curve also looks great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</si>
</sst>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3" x14ac:knownFonts="1">
    <font>
      <sz val="11"/>
      <color theme="1"/>
      <name val="Calibri"/>
      <family val="2"/>
      <scheme val="minor"/>
    </font>
    <font>
      <b/>
      <sz val="11"/>
      <name val="Calibri"/>
      <family val="2"/>
    </font>
    <font>
      <b/>
      <sz val="11"/>
      <color rgb="FFFF0000"/>
      <name val="Calibri"/>
      <family val="2"/>
    </font>
  </fonts>
  <fills count="4">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165" fontId="0" fillId="0" borderId="0" xfId="0" applyNumberFormat="1"/>
    <xf numFmtId="0" fontId="0" fillId="3" borderId="4" xfId="0" applyFont="1" applyFill="1" applyBorder="1"/>
    <xf numFmtId="0" fontId="0" fillId="3" borderId="5" xfId="0" applyFont="1" applyFill="1" applyBorder="1"/>
    <xf numFmtId="0" fontId="1" fillId="2" borderId="1" xfId="0" applyFont="1" applyFill="1" applyBorder="1" applyAlignment="1">
      <alignment horizontal="center" vertical="top"/>
    </xf>
    <xf numFmtId="0" fontId="1" fillId="2" borderId="3" xfId="0" applyFont="1" applyFill="1" applyBorder="1" applyAlignment="1">
      <alignment horizontal="center" vertical="top"/>
    </xf>
    <xf numFmtId="0" fontId="2" fillId="2" borderId="1" xfId="0" applyFont="1" applyFill="1" applyBorder="1" applyAlignment="1">
      <alignment horizontal="center" vertical="top"/>
    </xf>
    <xf numFmtId="165" fontId="0" fillId="3" borderId="5" xfId="0" applyNumberFormat="1" applyFont="1" applyFill="1" applyBorder="1"/>
  </cellXfs>
  <cellStyles count="1">
    <cellStyle name="Normal" xfId="0" builtinId="0"/>
  </cellStyles>
  <dxfs count="9">
    <dxf>
      <font>
        <b/>
        <i val="0"/>
        <strike val="0"/>
        <condense val="0"/>
        <extend val="0"/>
        <outline val="0"/>
        <shadow val="0"/>
        <u val="none"/>
        <vertAlign val="baseline"/>
        <sz val="11"/>
        <color auto="1"/>
        <name val="Calibri"/>
        <family val="2"/>
        <scheme val="none"/>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661596</xdr:colOff>
      <xdr:row>0</xdr:row>
      <xdr:rowOff>0</xdr:rowOff>
    </xdr:from>
    <xdr:to>
      <xdr:col>13</xdr:col>
      <xdr:colOff>4315161</xdr:colOff>
      <xdr:row>17</xdr:row>
      <xdr:rowOff>4640</xdr:rowOff>
    </xdr:to>
    <xdr:pic>
      <xdr:nvPicPr>
        <xdr:cNvPr id="2" name="Picture 1">
          <a:extLst>
            <a:ext uri="{FF2B5EF4-FFF2-40B4-BE49-F238E27FC236}">
              <a16:creationId xmlns:a16="http://schemas.microsoft.com/office/drawing/2014/main" id="{8866B452-69C9-16BA-5A15-C22F8040D317}"/>
            </a:ext>
          </a:extLst>
        </xdr:cNvPr>
        <xdr:cNvPicPr>
          <a:picLocks noChangeAspect="1"/>
        </xdr:cNvPicPr>
      </xdr:nvPicPr>
      <xdr:blipFill>
        <a:blip xmlns:r="http://schemas.openxmlformats.org/officeDocument/2006/relationships" r:embed="rId1"/>
        <a:stretch>
          <a:fillRect/>
        </a:stretch>
      </xdr:blipFill>
      <xdr:spPr>
        <a:xfrm>
          <a:off x="16910125" y="0"/>
          <a:ext cx="3653565" cy="3075052"/>
        </a:xfrm>
        <a:prstGeom prst="rect">
          <a:avLst/>
        </a:prstGeom>
      </xdr:spPr>
    </xdr:pic>
    <xdr:clientData/>
  </xdr:twoCellAnchor>
  <xdr:twoCellAnchor editAs="oneCell">
    <xdr:from>
      <xdr:col>18</xdr:col>
      <xdr:colOff>326291</xdr:colOff>
      <xdr:row>0</xdr:row>
      <xdr:rowOff>0</xdr:rowOff>
    </xdr:from>
    <xdr:to>
      <xdr:col>42</xdr:col>
      <xdr:colOff>225077</xdr:colOff>
      <xdr:row>66</xdr:row>
      <xdr:rowOff>36548</xdr:rowOff>
    </xdr:to>
    <xdr:pic>
      <xdr:nvPicPr>
        <xdr:cNvPr id="4" name="Picture 3">
          <a:extLst>
            <a:ext uri="{FF2B5EF4-FFF2-40B4-BE49-F238E27FC236}">
              <a16:creationId xmlns:a16="http://schemas.microsoft.com/office/drawing/2014/main" id="{CADA0D43-7483-46D0-A8EB-9947DCA6326A}"/>
            </a:ext>
          </a:extLst>
        </xdr:cNvPr>
        <xdr:cNvPicPr>
          <a:picLocks noChangeAspect="1"/>
        </xdr:cNvPicPr>
      </xdr:nvPicPr>
      <xdr:blipFill>
        <a:blip xmlns:r="http://schemas.openxmlformats.org/officeDocument/2006/relationships" r:embed="rId2"/>
        <a:stretch>
          <a:fillRect/>
        </a:stretch>
      </xdr:blipFill>
      <xdr:spPr>
        <a:xfrm>
          <a:off x="27747085" y="0"/>
          <a:ext cx="14421610" cy="11892372"/>
        </a:xfrm>
        <a:prstGeom prst="rect">
          <a:avLst/>
        </a:prstGeom>
      </xdr:spPr>
    </xdr:pic>
    <xdr:clientData/>
  </xdr:twoCellAnchor>
  <xdr:twoCellAnchor editAs="oneCell">
    <xdr:from>
      <xdr:col>13</xdr:col>
      <xdr:colOff>5970351</xdr:colOff>
      <xdr:row>0</xdr:row>
      <xdr:rowOff>0</xdr:rowOff>
    </xdr:from>
    <xdr:to>
      <xdr:col>17</xdr:col>
      <xdr:colOff>125411</xdr:colOff>
      <xdr:row>19</xdr:row>
      <xdr:rowOff>74911</xdr:rowOff>
    </xdr:to>
    <xdr:pic>
      <xdr:nvPicPr>
        <xdr:cNvPr id="5" name="Picture 4">
          <a:extLst>
            <a:ext uri="{FF2B5EF4-FFF2-40B4-BE49-F238E27FC236}">
              <a16:creationId xmlns:a16="http://schemas.microsoft.com/office/drawing/2014/main" id="{C8C45B37-5347-7A6E-A2D0-59F950B543A4}"/>
            </a:ext>
          </a:extLst>
        </xdr:cNvPr>
        <xdr:cNvPicPr>
          <a:picLocks noChangeAspect="1"/>
        </xdr:cNvPicPr>
      </xdr:nvPicPr>
      <xdr:blipFill>
        <a:blip xmlns:r="http://schemas.openxmlformats.org/officeDocument/2006/relationships" r:embed="rId3"/>
        <a:stretch>
          <a:fillRect/>
        </a:stretch>
      </xdr:blipFill>
      <xdr:spPr>
        <a:xfrm>
          <a:off x="22218880" y="0"/>
          <a:ext cx="4722207" cy="350391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04A08-4E2A-45CB-AE59-A4298600E0E3}" name="Table1" displayName="Table1" ref="A27:N56" totalsRowShown="0" headerRowDxfId="0">
  <autoFilter ref="A27:N56" xr:uid="{84804A08-4E2A-45CB-AE59-A4298600E0E3}"/>
  <tableColumns count="14">
    <tableColumn id="1" xr3:uid="{36018886-33B1-4182-A3BB-E1FF9FF6D5FF}" name="model"/>
    <tableColumn id="2" xr3:uid="{75F0611C-FCFB-4CD5-BB76-14B0017AC03A}" name="n_estimators"/>
    <tableColumn id="3" xr3:uid="{BBD74D77-E79C-4F20-BCC5-D61F71AB2C38}" name="max_depth"/>
    <tableColumn id="4" xr3:uid="{8A2086F4-F0E7-4247-A32E-A8E9A4DCBBFB}" name="learning_rate"/>
    <tableColumn id="5" xr3:uid="{EE0A7EED-DAF2-441E-AB59-CECF0EFE0C85}" name="subsample"/>
    <tableColumn id="6" xr3:uid="{1AEE9699-4BC4-48C5-B949-7A19D4C67D15}" name="accuracy" dataDxfId="8"/>
    <tableColumn id="7" xr3:uid="{6D51A63E-543A-4481-B90E-939328999E9D}" name="precision" dataDxfId="7"/>
    <tableColumn id="8" xr3:uid="{F71C41D4-2EC0-4AFE-97C3-228D293E8362}" name="recall" dataDxfId="6"/>
    <tableColumn id="9" xr3:uid="{39613947-0F68-48DB-9DF5-A4FB9ECA90F8}" name="f1" dataDxfId="5"/>
    <tableColumn id="10" xr3:uid="{2BFB1443-507A-49D0-981D-0EDBA3C97AD6}" name="accuracy increase" dataDxfId="4">
      <calculatedColumnFormula>100*(F28-$F$28)/F$28</calculatedColumnFormula>
    </tableColumn>
    <tableColumn id="11" xr3:uid="{9EAB392C-5240-42B6-81FB-F186A772AFB7}" name="precision increase" dataDxfId="3">
      <calculatedColumnFormula>100*(G28-$G$28)/G$28</calculatedColumnFormula>
    </tableColumn>
    <tableColumn id="12" xr3:uid="{499A829D-99ED-4C02-91EA-4A96E075AF33}" name="recall increase" dataDxfId="2">
      <calculatedColumnFormula>100*(H28-$H$28)/H$28</calculatedColumnFormula>
    </tableColumn>
    <tableColumn id="13" xr3:uid="{529EA039-3962-44FA-A96F-590C2FA993B4}" name="f1 increase" dataDxfId="1">
      <calculatedColumnFormula>100*(I28-$I$28)/I$28</calculatedColumnFormula>
    </tableColumn>
    <tableColumn id="14" xr3:uid="{A4D80AA1-85C9-4C6C-8785-6C88C604FBB3}" name="Comments"/>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
  <sheetViews>
    <sheetView tabSelected="1" zoomScale="68" workbookViewId="0">
      <selection activeCell="A7" sqref="A7"/>
    </sheetView>
  </sheetViews>
  <sheetFormatPr defaultRowHeight="14.4" x14ac:dyDescent="0.3"/>
  <cols>
    <col min="1" max="1" width="54.44140625" customWidth="1"/>
    <col min="2" max="2" width="14.6640625" customWidth="1"/>
    <col min="3" max="3" width="13.109375" customWidth="1"/>
    <col min="4" max="4" width="14.88671875" customWidth="1"/>
    <col min="5" max="5" width="12.44140625" customWidth="1"/>
    <col min="6" max="6" width="10.33203125" customWidth="1"/>
    <col min="7" max="7" width="11" customWidth="1"/>
    <col min="9" max="9" width="19.33203125" customWidth="1"/>
    <col min="10" max="10" width="21.44140625" customWidth="1"/>
    <col min="11" max="11" width="20.33203125" customWidth="1"/>
    <col min="12" max="12" width="19.21875" customWidth="1"/>
    <col min="13" max="13" width="17.21875" customWidth="1"/>
    <col min="14" max="14" width="127.5546875" customWidth="1"/>
  </cols>
  <sheetData>
    <row r="1" spans="1:13" ht="15" thickBot="1" x14ac:dyDescent="0.35">
      <c r="A1" s="8" t="s">
        <v>44</v>
      </c>
      <c r="B1" s="6" t="s">
        <v>1</v>
      </c>
      <c r="C1" s="6" t="s">
        <v>2</v>
      </c>
      <c r="D1" s="6" t="s">
        <v>3</v>
      </c>
      <c r="E1" s="6" t="s">
        <v>4</v>
      </c>
      <c r="F1" s="6" t="s">
        <v>5</v>
      </c>
      <c r="G1" s="6" t="s">
        <v>6</v>
      </c>
      <c r="H1" s="6" t="s">
        <v>7</v>
      </c>
      <c r="I1" s="6" t="s">
        <v>8</v>
      </c>
      <c r="J1" s="7" t="s">
        <v>39</v>
      </c>
      <c r="K1" s="7" t="s">
        <v>40</v>
      </c>
      <c r="L1" s="7" t="s">
        <v>41</v>
      </c>
      <c r="M1" s="7" t="s">
        <v>42</v>
      </c>
    </row>
    <row r="2" spans="1:13" ht="15" thickTop="1" x14ac:dyDescent="0.3">
      <c r="A2" s="4" t="s">
        <v>10</v>
      </c>
      <c r="B2" s="5">
        <v>300</v>
      </c>
      <c r="C2" s="5">
        <v>10</v>
      </c>
      <c r="D2" s="5">
        <v>0.1</v>
      </c>
      <c r="E2" s="5">
        <v>1</v>
      </c>
      <c r="F2" s="9">
        <v>0.64009471191791634</v>
      </c>
      <c r="G2" s="9">
        <v>0.64446712679386609</v>
      </c>
      <c r="H2" s="9">
        <v>0.64009471191791634</v>
      </c>
      <c r="I2" s="9">
        <v>0.63689746376411061</v>
      </c>
      <c r="J2" s="9">
        <f t="shared" ref="J2" si="0">100*(F2-$F$28)/F$28</f>
        <v>211.66545337426973</v>
      </c>
      <c r="K2" s="9">
        <f t="shared" ref="K2" si="1">100*(G2-$G$28)/G$28</f>
        <v>1427.8813224579774</v>
      </c>
      <c r="L2" s="9">
        <f t="shared" ref="L2" si="2">100*(H2-$H$28)/H$28</f>
        <v>211.66545337426973</v>
      </c>
      <c r="M2" s="9">
        <f t="shared" ref="M2" si="3">100*(I2-$I$28)/I$28</f>
        <v>810.02205629662831</v>
      </c>
    </row>
    <row r="3" spans="1:13" x14ac:dyDescent="0.3">
      <c r="A3" t="s">
        <v>45</v>
      </c>
    </row>
    <row r="4" spans="1:13" x14ac:dyDescent="0.3">
      <c r="A4" t="s">
        <v>46</v>
      </c>
    </row>
    <row r="5" spans="1:13" x14ac:dyDescent="0.3">
      <c r="A5" t="s">
        <v>47</v>
      </c>
    </row>
    <row r="6" spans="1:13" x14ac:dyDescent="0.3">
      <c r="A6" t="s">
        <v>48</v>
      </c>
    </row>
    <row r="27" spans="1:14" x14ac:dyDescent="0.3">
      <c r="A27" s="1" t="s">
        <v>0</v>
      </c>
      <c r="B27" s="1" t="s">
        <v>1</v>
      </c>
      <c r="C27" s="1" t="s">
        <v>2</v>
      </c>
      <c r="D27" s="1" t="s">
        <v>3</v>
      </c>
      <c r="E27" s="1" t="s">
        <v>4</v>
      </c>
      <c r="F27" s="1" t="s">
        <v>5</v>
      </c>
      <c r="G27" s="1" t="s">
        <v>6</v>
      </c>
      <c r="H27" s="1" t="s">
        <v>7</v>
      </c>
      <c r="I27" s="1" t="s">
        <v>8</v>
      </c>
      <c r="J27" s="2" t="s">
        <v>39</v>
      </c>
      <c r="K27" s="2" t="s">
        <v>40</v>
      </c>
      <c r="L27" s="2" t="s">
        <v>41</v>
      </c>
      <c r="M27" s="2" t="s">
        <v>42</v>
      </c>
      <c r="N27" t="s">
        <v>11</v>
      </c>
    </row>
    <row r="28" spans="1:14" x14ac:dyDescent="0.3">
      <c r="A28" t="s">
        <v>9</v>
      </c>
      <c r="F28" s="3">
        <v>0.20537878195606291</v>
      </c>
      <c r="G28" s="3">
        <v>4.2180444077756007E-2</v>
      </c>
      <c r="H28" s="3">
        <v>0.20537878195606291</v>
      </c>
      <c r="I28" s="3">
        <v>6.9987035957786631E-2</v>
      </c>
      <c r="J28" s="3">
        <f>100*(F28-$F$28)/F$28</f>
        <v>0</v>
      </c>
      <c r="K28" s="3">
        <f>100*(G28-$G$28)/G$28</f>
        <v>0</v>
      </c>
      <c r="L28" s="3">
        <f>100*(H28-$H$28)/H$28</f>
        <v>0</v>
      </c>
      <c r="M28" s="3">
        <f>100*(I28-$I$28)/I$28</f>
        <v>0</v>
      </c>
      <c r="N28" t="s">
        <v>12</v>
      </c>
    </row>
    <row r="29" spans="1:14" x14ac:dyDescent="0.3">
      <c r="A29" t="s">
        <v>10</v>
      </c>
      <c r="B29">
        <v>200</v>
      </c>
      <c r="C29">
        <v>10</v>
      </c>
      <c r="D29">
        <v>0.1</v>
      </c>
      <c r="E29">
        <v>1</v>
      </c>
      <c r="F29" s="3">
        <v>0.63772691397000791</v>
      </c>
      <c r="G29" s="3">
        <v>0.64205600329522439</v>
      </c>
      <c r="H29" s="3">
        <v>0.63772691397000791</v>
      </c>
      <c r="I29" s="3">
        <v>0.63421060553054587</v>
      </c>
      <c r="J29" s="3">
        <f t="shared" ref="J29:J56" si="4">100*(F29-$F$28)/F$28</f>
        <v>210.51256020519108</v>
      </c>
      <c r="K29" s="3">
        <f t="shared" ref="K29:K56" si="5">100*(G29-$G$28)/G$28</f>
        <v>1422.1651107125606</v>
      </c>
      <c r="L29" s="3">
        <f t="shared" ref="L29:L56" si="6">100*(H29-$H$28)/H$28</f>
        <v>210.51256020519108</v>
      </c>
      <c r="M29" s="3">
        <f t="shared" ref="M29:M56" si="7">100*(I29-$I$28)/I$28</f>
        <v>806.18297639162233</v>
      </c>
      <c r="N29" t="s">
        <v>13</v>
      </c>
    </row>
    <row r="30" spans="1:14" x14ac:dyDescent="0.3">
      <c r="A30" t="s">
        <v>10</v>
      </c>
      <c r="B30">
        <v>300</v>
      </c>
      <c r="C30">
        <v>10</v>
      </c>
      <c r="D30">
        <v>0.1</v>
      </c>
      <c r="E30">
        <v>1</v>
      </c>
      <c r="F30" s="3">
        <v>0.61720599842146806</v>
      </c>
      <c r="G30" s="3">
        <v>0.62074053567644893</v>
      </c>
      <c r="H30" s="3">
        <v>0.61720599842146806</v>
      </c>
      <c r="I30" s="3">
        <v>0.6152388349333956</v>
      </c>
      <c r="J30" s="3">
        <f t="shared" si="4"/>
        <v>200.52081940650916</v>
      </c>
      <c r="K30" s="3">
        <f t="shared" si="5"/>
        <v>1371.6311059508225</v>
      </c>
      <c r="L30" s="3">
        <f t="shared" si="6"/>
        <v>200.52081940650916</v>
      </c>
      <c r="M30" s="3">
        <f t="shared" si="7"/>
        <v>779.07542663255947</v>
      </c>
      <c r="N30" t="s">
        <v>14</v>
      </c>
    </row>
    <row r="31" spans="1:14" x14ac:dyDescent="0.3">
      <c r="A31" t="s">
        <v>10</v>
      </c>
      <c r="B31">
        <v>300</v>
      </c>
      <c r="C31">
        <v>10</v>
      </c>
      <c r="D31">
        <v>0.1</v>
      </c>
      <c r="E31">
        <v>1</v>
      </c>
      <c r="F31" s="3">
        <v>0.62036306235201266</v>
      </c>
      <c r="G31" s="3">
        <v>0.62502528070751595</v>
      </c>
      <c r="H31" s="3">
        <v>0.62036306235201266</v>
      </c>
      <c r="I31" s="3">
        <v>0.618669333118958</v>
      </c>
      <c r="J31" s="3">
        <f t="shared" si="4"/>
        <v>202.05801029861408</v>
      </c>
      <c r="K31" s="3">
        <f t="shared" si="5"/>
        <v>1381.7892375797082</v>
      </c>
      <c r="L31" s="3">
        <f t="shared" si="6"/>
        <v>202.05801029861408</v>
      </c>
      <c r="M31" s="3">
        <f t="shared" si="7"/>
        <v>783.97704610910296</v>
      </c>
    </row>
    <row r="32" spans="1:14" x14ac:dyDescent="0.3">
      <c r="A32" t="s">
        <v>10</v>
      </c>
      <c r="B32">
        <v>300</v>
      </c>
      <c r="C32">
        <v>10</v>
      </c>
      <c r="D32">
        <v>0.1</v>
      </c>
      <c r="E32">
        <v>1</v>
      </c>
      <c r="F32" s="3">
        <v>0.64246250986582476</v>
      </c>
      <c r="G32" s="3">
        <v>0.64804411232969039</v>
      </c>
      <c r="H32" s="3">
        <v>0.64246250986582476</v>
      </c>
      <c r="I32" s="3">
        <v>0.64010695358762648</v>
      </c>
      <c r="J32" s="3">
        <f t="shared" si="4"/>
        <v>212.81834654334841</v>
      </c>
      <c r="K32" s="3">
        <f t="shared" si="5"/>
        <v>1436.3615213132346</v>
      </c>
      <c r="L32" s="3">
        <f t="shared" si="6"/>
        <v>212.81834654334841</v>
      </c>
      <c r="M32" s="3">
        <f t="shared" si="7"/>
        <v>814.60789105815718</v>
      </c>
      <c r="N32" t="s">
        <v>15</v>
      </c>
    </row>
    <row r="33" spans="1:14" x14ac:dyDescent="0.3">
      <c r="A33" t="s">
        <v>10</v>
      </c>
      <c r="B33">
        <v>300</v>
      </c>
      <c r="C33">
        <v>10</v>
      </c>
      <c r="D33">
        <v>0.1</v>
      </c>
      <c r="E33">
        <v>1</v>
      </c>
      <c r="F33" s="3">
        <v>0.59116022099447518</v>
      </c>
      <c r="G33" s="3">
        <v>0.5953115094439938</v>
      </c>
      <c r="H33" s="3">
        <v>0.59116022099447518</v>
      </c>
      <c r="I33" s="3">
        <v>0.58778463274345016</v>
      </c>
      <c r="J33" s="3">
        <f t="shared" si="4"/>
        <v>187.83899454664373</v>
      </c>
      <c r="K33" s="3">
        <f t="shared" si="5"/>
        <v>1311.3448126496451</v>
      </c>
      <c r="L33" s="3">
        <f t="shared" si="6"/>
        <v>187.83899454664373</v>
      </c>
      <c r="M33" s="3">
        <f t="shared" si="7"/>
        <v>739.84787282315858</v>
      </c>
      <c r="N33" t="s">
        <v>16</v>
      </c>
    </row>
    <row r="34" spans="1:14" x14ac:dyDescent="0.3">
      <c r="A34" t="s">
        <v>10</v>
      </c>
      <c r="B34">
        <v>300</v>
      </c>
      <c r="C34">
        <v>10</v>
      </c>
      <c r="D34">
        <v>0.1</v>
      </c>
      <c r="E34">
        <v>1</v>
      </c>
      <c r="F34" s="3">
        <v>0.62194159431728491</v>
      </c>
      <c r="G34" s="3">
        <v>0.62571926093612051</v>
      </c>
      <c r="H34" s="3">
        <v>0.62194159431728491</v>
      </c>
      <c r="I34" s="3">
        <v>0.61856064873985006</v>
      </c>
      <c r="J34" s="3">
        <f t="shared" si="4"/>
        <v>202.82660574466649</v>
      </c>
      <c r="K34" s="3">
        <f t="shared" si="5"/>
        <v>1383.4345029242961</v>
      </c>
      <c r="L34" s="3">
        <f t="shared" si="6"/>
        <v>202.82660574466649</v>
      </c>
      <c r="M34" s="3">
        <f t="shared" si="7"/>
        <v>783.82175395017578</v>
      </c>
      <c r="N34" t="s">
        <v>17</v>
      </c>
    </row>
    <row r="35" spans="1:14" x14ac:dyDescent="0.3">
      <c r="A35" t="s">
        <v>10</v>
      </c>
      <c r="B35">
        <v>300</v>
      </c>
      <c r="C35">
        <v>10</v>
      </c>
      <c r="D35">
        <v>0.1</v>
      </c>
      <c r="E35">
        <v>1</v>
      </c>
      <c r="F35" s="3">
        <v>0.60063141278610888</v>
      </c>
      <c r="G35" s="3">
        <v>0.60863354579458606</v>
      </c>
      <c r="H35" s="3">
        <v>0.60063141278610888</v>
      </c>
      <c r="I35" s="3">
        <v>0.59762586779943916</v>
      </c>
      <c r="J35" s="3">
        <f t="shared" si="4"/>
        <v>192.45056722295837</v>
      </c>
      <c r="K35" s="3">
        <f t="shared" si="5"/>
        <v>1342.9282552659301</v>
      </c>
      <c r="L35" s="3">
        <f t="shared" si="6"/>
        <v>192.45056722295837</v>
      </c>
      <c r="M35" s="3">
        <f t="shared" si="7"/>
        <v>753.90938424639535</v>
      </c>
      <c r="N35" t="s">
        <v>18</v>
      </c>
    </row>
    <row r="36" spans="1:14" x14ac:dyDescent="0.3">
      <c r="A36" t="s">
        <v>10</v>
      </c>
      <c r="B36">
        <v>300</v>
      </c>
      <c r="C36">
        <v>10</v>
      </c>
      <c r="D36">
        <v>0.1</v>
      </c>
      <c r="E36">
        <v>1</v>
      </c>
      <c r="F36" s="3">
        <v>0.60457774269928966</v>
      </c>
      <c r="G36" s="3">
        <v>0.60956571577282459</v>
      </c>
      <c r="H36" s="3">
        <v>0.60457774269928966</v>
      </c>
      <c r="I36" s="3">
        <v>0.60274738186834642</v>
      </c>
      <c r="J36" s="3">
        <f t="shared" si="4"/>
        <v>194.37205583808952</v>
      </c>
      <c r="K36" s="3">
        <f t="shared" si="5"/>
        <v>1345.1382129812166</v>
      </c>
      <c r="L36" s="3">
        <f t="shared" si="6"/>
        <v>194.37205583808952</v>
      </c>
      <c r="M36" s="3">
        <f t="shared" si="7"/>
        <v>761.22718817796397</v>
      </c>
      <c r="N36" t="s">
        <v>19</v>
      </c>
    </row>
    <row r="37" spans="1:14" x14ac:dyDescent="0.3">
      <c r="A37" t="s">
        <v>10</v>
      </c>
      <c r="B37">
        <v>300</v>
      </c>
      <c r="C37">
        <v>10</v>
      </c>
      <c r="D37">
        <v>0.1</v>
      </c>
      <c r="E37">
        <v>1</v>
      </c>
      <c r="F37" s="3">
        <v>0.62667719021310186</v>
      </c>
      <c r="G37" s="3">
        <v>0.63033032484126572</v>
      </c>
      <c r="H37" s="3">
        <v>0.62667719021310186</v>
      </c>
      <c r="I37" s="3">
        <v>0.62399163024883442</v>
      </c>
      <c r="J37" s="3">
        <f t="shared" si="4"/>
        <v>205.13239208282391</v>
      </c>
      <c r="K37" s="3">
        <f t="shared" si="5"/>
        <v>1394.3662605336876</v>
      </c>
      <c r="L37" s="3">
        <f t="shared" si="6"/>
        <v>205.13239208282391</v>
      </c>
      <c r="M37" s="3">
        <f t="shared" si="7"/>
        <v>791.58173611638745</v>
      </c>
      <c r="N37" t="s">
        <v>20</v>
      </c>
    </row>
    <row r="38" spans="1:14" x14ac:dyDescent="0.3">
      <c r="A38" t="s">
        <v>10</v>
      </c>
      <c r="B38">
        <v>300</v>
      </c>
      <c r="C38">
        <v>10</v>
      </c>
      <c r="D38">
        <v>0.1</v>
      </c>
      <c r="E38">
        <v>1</v>
      </c>
      <c r="F38" s="3">
        <v>0.62509865824782951</v>
      </c>
      <c r="G38" s="3">
        <v>0.63133569285841862</v>
      </c>
      <c r="H38" s="3">
        <v>0.62509865824782951</v>
      </c>
      <c r="I38" s="3">
        <v>0.62337818299356618</v>
      </c>
      <c r="J38" s="3">
        <f t="shared" si="4"/>
        <v>204.36379663677141</v>
      </c>
      <c r="K38" s="3">
        <f t="shared" si="5"/>
        <v>1396.7497537356548</v>
      </c>
      <c r="L38" s="3">
        <f t="shared" si="6"/>
        <v>204.36379663677141</v>
      </c>
      <c r="M38" s="3">
        <f t="shared" si="7"/>
        <v>790.70522056336665</v>
      </c>
      <c r="N38" t="s">
        <v>21</v>
      </c>
    </row>
    <row r="39" spans="1:14" x14ac:dyDescent="0.3">
      <c r="A39" t="s">
        <v>10</v>
      </c>
      <c r="B39">
        <v>300</v>
      </c>
      <c r="C39">
        <v>10</v>
      </c>
      <c r="D39">
        <v>0.1</v>
      </c>
      <c r="E39">
        <v>1</v>
      </c>
      <c r="F39" s="3">
        <v>0.2407261247040253</v>
      </c>
      <c r="G39" s="3">
        <v>0.24326846541279379</v>
      </c>
      <c r="H39" s="3">
        <v>0.2407261247040253</v>
      </c>
      <c r="I39" s="3">
        <v>0.236814590335477</v>
      </c>
      <c r="J39" s="3">
        <f t="shared" si="4"/>
        <v>17.210805522999117</v>
      </c>
      <c r="K39" s="3">
        <f t="shared" si="5"/>
        <v>476.73282188387913</v>
      </c>
      <c r="L39" s="3">
        <f t="shared" si="6"/>
        <v>17.210805522999117</v>
      </c>
      <c r="M39" s="3">
        <f t="shared" si="7"/>
        <v>238.36922380641187</v>
      </c>
      <c r="N39" t="s">
        <v>22</v>
      </c>
    </row>
    <row r="40" spans="1:14" x14ac:dyDescent="0.3">
      <c r="A40" t="s">
        <v>10</v>
      </c>
      <c r="B40">
        <v>300</v>
      </c>
      <c r="C40">
        <v>10</v>
      </c>
      <c r="D40">
        <v>0.1</v>
      </c>
      <c r="E40">
        <v>1</v>
      </c>
      <c r="F40" s="3">
        <v>0.25966850828729282</v>
      </c>
      <c r="G40" s="3">
        <v>0.25461900760906142</v>
      </c>
      <c r="H40" s="3">
        <v>0.25966850828729282</v>
      </c>
      <c r="I40" s="3">
        <v>0.24843874054425849</v>
      </c>
      <c r="J40" s="3">
        <f t="shared" si="4"/>
        <v>26.433950875628536</v>
      </c>
      <c r="K40" s="3">
        <f t="shared" si="5"/>
        <v>503.64231144578105</v>
      </c>
      <c r="L40" s="3">
        <f t="shared" si="6"/>
        <v>26.433950875628536</v>
      </c>
      <c r="M40" s="3">
        <f t="shared" si="7"/>
        <v>254.9782286738172</v>
      </c>
      <c r="N40" t="s">
        <v>23</v>
      </c>
    </row>
    <row r="41" spans="1:14" x14ac:dyDescent="0.3">
      <c r="A41" t="s">
        <v>10</v>
      </c>
      <c r="B41">
        <v>300</v>
      </c>
      <c r="C41">
        <v>10</v>
      </c>
      <c r="D41">
        <v>0.1</v>
      </c>
      <c r="E41">
        <v>1</v>
      </c>
      <c r="F41" s="3">
        <v>0.25651144435674822</v>
      </c>
      <c r="G41" s="3">
        <v>0.25418871388163561</v>
      </c>
      <c r="H41" s="3">
        <v>0.25651144435674822</v>
      </c>
      <c r="I41" s="3">
        <v>0.24753161514678571</v>
      </c>
      <c r="J41" s="3">
        <f t="shared" si="4"/>
        <v>24.89675998352363</v>
      </c>
      <c r="K41" s="3">
        <f t="shared" si="5"/>
        <v>502.62218532612087</v>
      </c>
      <c r="L41" s="3">
        <f t="shared" si="6"/>
        <v>24.89675998352363</v>
      </c>
      <c r="M41" s="3">
        <f t="shared" si="7"/>
        <v>253.68209520415584</v>
      </c>
      <c r="N41" t="s">
        <v>24</v>
      </c>
    </row>
    <row r="42" spans="1:14" x14ac:dyDescent="0.3">
      <c r="A42" t="s">
        <v>10</v>
      </c>
      <c r="B42">
        <v>300</v>
      </c>
      <c r="C42">
        <v>10</v>
      </c>
      <c r="D42">
        <v>0.1</v>
      </c>
      <c r="E42">
        <v>1</v>
      </c>
      <c r="F42" s="3">
        <v>0.26598263614838202</v>
      </c>
      <c r="G42" s="3">
        <v>0.26296543737519779</v>
      </c>
      <c r="H42" s="3">
        <v>0.26598263614838202</v>
      </c>
      <c r="I42" s="3">
        <v>0.25967144574847101</v>
      </c>
      <c r="J42" s="3">
        <f t="shared" si="4"/>
        <v>29.508332659838356</v>
      </c>
      <c r="K42" s="3">
        <f t="shared" si="5"/>
        <v>523.42975074051787</v>
      </c>
      <c r="L42" s="3">
        <f t="shared" si="6"/>
        <v>29.508332659838356</v>
      </c>
      <c r="M42" s="3">
        <f t="shared" si="7"/>
        <v>271.027922807153</v>
      </c>
      <c r="N42" t="s">
        <v>25</v>
      </c>
    </row>
    <row r="43" spans="1:14" x14ac:dyDescent="0.3">
      <c r="A43" t="s">
        <v>10</v>
      </c>
      <c r="B43">
        <v>300</v>
      </c>
      <c r="C43">
        <v>10</v>
      </c>
      <c r="D43">
        <v>0.1</v>
      </c>
      <c r="E43">
        <v>1</v>
      </c>
      <c r="F43" s="3">
        <v>0.26203630623520119</v>
      </c>
      <c r="G43" s="3">
        <v>0.26136597682211932</v>
      </c>
      <c r="H43" s="3">
        <v>0.26203630623520119</v>
      </c>
      <c r="I43" s="3">
        <v>0.25560229749111241</v>
      </c>
      <c r="J43" s="3">
        <f t="shared" si="4"/>
        <v>27.586844044707178</v>
      </c>
      <c r="K43" s="3">
        <f t="shared" si="5"/>
        <v>519.63780262795171</v>
      </c>
      <c r="L43" s="3">
        <f t="shared" si="6"/>
        <v>27.586844044707178</v>
      </c>
      <c r="M43" s="3">
        <f t="shared" si="7"/>
        <v>265.21377708477536</v>
      </c>
      <c r="N43" t="s">
        <v>26</v>
      </c>
    </row>
    <row r="44" spans="1:14" x14ac:dyDescent="0.3">
      <c r="A44" t="s">
        <v>10</v>
      </c>
      <c r="B44">
        <v>300</v>
      </c>
      <c r="C44">
        <v>10</v>
      </c>
      <c r="D44">
        <v>0.1</v>
      </c>
      <c r="E44">
        <v>1</v>
      </c>
      <c r="F44" s="3">
        <v>0.50039463299131803</v>
      </c>
      <c r="G44" s="3">
        <v>0.50956114646492068</v>
      </c>
      <c r="H44" s="3">
        <v>0.50039463299131803</v>
      </c>
      <c r="I44" s="3">
        <v>0.49720811310703922</v>
      </c>
      <c r="J44" s="3">
        <f t="shared" si="4"/>
        <v>143.64475639862761</v>
      </c>
      <c r="K44" s="3">
        <f t="shared" si="5"/>
        <v>1108.0506917508708</v>
      </c>
      <c r="L44" s="3">
        <f t="shared" si="6"/>
        <v>143.64475639862761</v>
      </c>
      <c r="M44" s="3">
        <f t="shared" si="7"/>
        <v>610.4288762949401</v>
      </c>
      <c r="N44" t="s">
        <v>27</v>
      </c>
    </row>
    <row r="45" spans="1:14" x14ac:dyDescent="0.3">
      <c r="A45" t="s">
        <v>10</v>
      </c>
      <c r="B45">
        <v>300</v>
      </c>
      <c r="C45">
        <v>10</v>
      </c>
      <c r="D45">
        <v>0.1</v>
      </c>
      <c r="E45">
        <v>1</v>
      </c>
      <c r="F45" s="3">
        <v>0.52328334648776642</v>
      </c>
      <c r="G45" s="3">
        <v>0.53434650111715631</v>
      </c>
      <c r="H45" s="3">
        <v>0.52328334648776642</v>
      </c>
      <c r="I45" s="3">
        <v>0.52137870845809497</v>
      </c>
      <c r="J45" s="3">
        <f t="shared" si="4"/>
        <v>154.7893903663882</v>
      </c>
      <c r="K45" s="3">
        <f t="shared" si="5"/>
        <v>1166.8109897850641</v>
      </c>
      <c r="L45" s="3">
        <f t="shared" si="6"/>
        <v>154.7893903663882</v>
      </c>
      <c r="M45" s="3">
        <f t="shared" si="7"/>
        <v>644.9646942793371</v>
      </c>
      <c r="N45" t="s">
        <v>28</v>
      </c>
    </row>
    <row r="46" spans="1:14" x14ac:dyDescent="0.3">
      <c r="A46" t="s">
        <v>10</v>
      </c>
      <c r="B46">
        <v>300</v>
      </c>
      <c r="C46">
        <v>10</v>
      </c>
      <c r="D46">
        <v>0.1</v>
      </c>
      <c r="E46">
        <v>1</v>
      </c>
      <c r="F46" s="3">
        <v>0.56195737963693759</v>
      </c>
      <c r="G46" s="3">
        <v>0.57021642261184136</v>
      </c>
      <c r="H46" s="3">
        <v>0.56195737963693759</v>
      </c>
      <c r="I46" s="3">
        <v>0.56040984668989324</v>
      </c>
      <c r="J46" s="3">
        <f t="shared" si="4"/>
        <v>173.61997879467327</v>
      </c>
      <c r="K46" s="3">
        <f t="shared" si="5"/>
        <v>1251.85021182019</v>
      </c>
      <c r="L46" s="3">
        <f t="shared" si="6"/>
        <v>173.61997879467327</v>
      </c>
      <c r="M46" s="3">
        <f t="shared" si="7"/>
        <v>700.73379165237111</v>
      </c>
      <c r="N46" t="s">
        <v>29</v>
      </c>
    </row>
    <row r="47" spans="1:14" x14ac:dyDescent="0.3">
      <c r="A47" t="s">
        <v>10</v>
      </c>
      <c r="B47">
        <v>300</v>
      </c>
      <c r="C47">
        <v>10</v>
      </c>
      <c r="D47">
        <v>0.1</v>
      </c>
      <c r="E47">
        <v>1</v>
      </c>
      <c r="F47" s="3">
        <v>0.60378847671665348</v>
      </c>
      <c r="G47" s="3">
        <v>0.60953163897885088</v>
      </c>
      <c r="H47" s="3">
        <v>0.60378847671665348</v>
      </c>
      <c r="I47" s="3">
        <v>0.60250831407958827</v>
      </c>
      <c r="J47" s="3">
        <f t="shared" si="4"/>
        <v>193.98775811506331</v>
      </c>
      <c r="K47" s="3">
        <f t="shared" si="5"/>
        <v>1345.0574248465282</v>
      </c>
      <c r="L47" s="3">
        <f t="shared" si="6"/>
        <v>193.98775811506331</v>
      </c>
      <c r="M47" s="3">
        <f t="shared" si="7"/>
        <v>760.88559950302374</v>
      </c>
      <c r="N47" t="s">
        <v>30</v>
      </c>
    </row>
    <row r="48" spans="1:14" x14ac:dyDescent="0.3">
      <c r="A48" t="s">
        <v>10</v>
      </c>
      <c r="B48">
        <v>300</v>
      </c>
      <c r="C48">
        <v>10</v>
      </c>
      <c r="D48">
        <v>0.1</v>
      </c>
      <c r="E48">
        <v>1</v>
      </c>
      <c r="F48" s="3">
        <v>0.60378847671665348</v>
      </c>
      <c r="G48" s="3">
        <v>0.61076819449213382</v>
      </c>
      <c r="H48" s="3">
        <v>0.60378847671665348</v>
      </c>
      <c r="I48" s="3">
        <v>0.60136627506017504</v>
      </c>
      <c r="J48" s="3">
        <f t="shared" si="4"/>
        <v>193.98775811506331</v>
      </c>
      <c r="K48" s="3">
        <f t="shared" si="5"/>
        <v>1347.9890097084692</v>
      </c>
      <c r="L48" s="3">
        <f t="shared" si="6"/>
        <v>193.98775811506331</v>
      </c>
      <c r="M48" s="3">
        <f t="shared" si="7"/>
        <v>759.25381298172852</v>
      </c>
      <c r="N48" t="s">
        <v>31</v>
      </c>
    </row>
    <row r="49" spans="1:14" x14ac:dyDescent="0.3">
      <c r="A49" t="s">
        <v>10</v>
      </c>
      <c r="B49">
        <v>300</v>
      </c>
      <c r="C49">
        <v>10</v>
      </c>
      <c r="D49">
        <v>0.1</v>
      </c>
      <c r="E49">
        <v>1</v>
      </c>
      <c r="F49" s="3">
        <v>0.59826361483820045</v>
      </c>
      <c r="G49" s="3">
        <v>0.60722125232770718</v>
      </c>
      <c r="H49" s="3">
        <v>0.59826361483820045</v>
      </c>
      <c r="I49" s="3">
        <v>0.59676739239026022</v>
      </c>
      <c r="J49" s="3">
        <f t="shared" si="4"/>
        <v>191.29767405387972</v>
      </c>
      <c r="K49" s="3">
        <f t="shared" si="5"/>
        <v>1339.580036683225</v>
      </c>
      <c r="L49" s="3">
        <f t="shared" si="6"/>
        <v>191.29767405387972</v>
      </c>
      <c r="M49" s="3">
        <f t="shared" si="7"/>
        <v>752.68276363383404</v>
      </c>
      <c r="N49" t="s">
        <v>32</v>
      </c>
    </row>
    <row r="50" spans="1:14" x14ac:dyDescent="0.3">
      <c r="A50" t="s">
        <v>10</v>
      </c>
      <c r="B50">
        <v>300</v>
      </c>
      <c r="C50">
        <v>10</v>
      </c>
      <c r="D50">
        <v>0.1</v>
      </c>
      <c r="E50">
        <v>1</v>
      </c>
      <c r="F50" s="3">
        <v>0.59905288082083663</v>
      </c>
      <c r="G50" s="3">
        <v>0.60589133587981336</v>
      </c>
      <c r="H50" s="3">
        <v>0.59905288082083663</v>
      </c>
      <c r="I50" s="3">
        <v>0.59784574762492648</v>
      </c>
      <c r="J50" s="3">
        <f t="shared" si="4"/>
        <v>191.68197177690598</v>
      </c>
      <c r="K50" s="3">
        <f t="shared" si="5"/>
        <v>1336.4271148091873</v>
      </c>
      <c r="L50" s="3">
        <f t="shared" si="6"/>
        <v>191.68197177690598</v>
      </c>
      <c r="M50" s="3">
        <f t="shared" si="7"/>
        <v>754.22355646769063</v>
      </c>
      <c r="N50" t="s">
        <v>33</v>
      </c>
    </row>
    <row r="51" spans="1:14" x14ac:dyDescent="0.3">
      <c r="A51" t="s">
        <v>10</v>
      </c>
      <c r="B51">
        <v>300</v>
      </c>
      <c r="C51">
        <v>10</v>
      </c>
      <c r="D51">
        <v>0.1</v>
      </c>
      <c r="E51">
        <v>1</v>
      </c>
      <c r="F51" s="3">
        <v>0.64325177584846094</v>
      </c>
      <c r="G51" s="3">
        <v>0.64525897799838161</v>
      </c>
      <c r="H51" s="3">
        <v>0.64325177584846094</v>
      </c>
      <c r="I51" s="3">
        <v>0.63984342309853581</v>
      </c>
      <c r="J51" s="3">
        <f t="shared" si="4"/>
        <v>213.20264426637465</v>
      </c>
      <c r="K51" s="3">
        <f t="shared" si="5"/>
        <v>1429.7586170712248</v>
      </c>
      <c r="L51" s="3">
        <f t="shared" si="6"/>
        <v>213.20264426637465</v>
      </c>
      <c r="M51" s="3">
        <f t="shared" si="7"/>
        <v>814.23134919510471</v>
      </c>
      <c r="N51" t="s">
        <v>34</v>
      </c>
    </row>
    <row r="52" spans="1:14" x14ac:dyDescent="0.3">
      <c r="A52" t="s">
        <v>10</v>
      </c>
      <c r="B52">
        <v>300</v>
      </c>
      <c r="C52">
        <v>10</v>
      </c>
      <c r="D52">
        <v>0.1</v>
      </c>
      <c r="E52">
        <v>1</v>
      </c>
      <c r="F52" s="3">
        <v>0.6124704025256511</v>
      </c>
      <c r="G52" s="3">
        <v>0.61966364712505695</v>
      </c>
      <c r="H52" s="3">
        <v>0.6124704025256511</v>
      </c>
      <c r="I52" s="3">
        <v>0.60854620781544067</v>
      </c>
      <c r="J52" s="3">
        <f t="shared" si="4"/>
        <v>198.21503306835177</v>
      </c>
      <c r="K52" s="3">
        <f t="shared" si="5"/>
        <v>1369.0780542347077</v>
      </c>
      <c r="L52" s="3">
        <f t="shared" si="6"/>
        <v>198.21503306835177</v>
      </c>
      <c r="M52" s="3">
        <f t="shared" si="7"/>
        <v>769.51275973809095</v>
      </c>
      <c r="N52" t="s">
        <v>35</v>
      </c>
    </row>
    <row r="53" spans="1:14" x14ac:dyDescent="0.3">
      <c r="A53" t="s">
        <v>10</v>
      </c>
      <c r="B53">
        <v>300</v>
      </c>
      <c r="C53">
        <v>10</v>
      </c>
      <c r="D53">
        <v>0.1</v>
      </c>
      <c r="E53">
        <v>1</v>
      </c>
      <c r="F53" s="3">
        <v>0.63220205209155489</v>
      </c>
      <c r="G53" s="3">
        <v>0.64232063099480341</v>
      </c>
      <c r="H53" s="3">
        <v>0.63220205209155489</v>
      </c>
      <c r="I53" s="3">
        <v>0.62968524458063391</v>
      </c>
      <c r="J53" s="3">
        <f t="shared" si="4"/>
        <v>207.82247614400748</v>
      </c>
      <c r="K53" s="3">
        <f t="shared" si="5"/>
        <v>1422.7924812994875</v>
      </c>
      <c r="L53" s="3">
        <f t="shared" si="6"/>
        <v>207.82247614400748</v>
      </c>
      <c r="M53" s="3">
        <f t="shared" si="7"/>
        <v>799.71697752771638</v>
      </c>
      <c r="N53" t="s">
        <v>36</v>
      </c>
    </row>
    <row r="54" spans="1:14" x14ac:dyDescent="0.3">
      <c r="A54" t="s">
        <v>10</v>
      </c>
      <c r="B54">
        <v>300</v>
      </c>
      <c r="C54">
        <v>10</v>
      </c>
      <c r="D54">
        <v>0.1</v>
      </c>
      <c r="E54">
        <v>1</v>
      </c>
      <c r="F54" s="3">
        <v>0.62983425414364635</v>
      </c>
      <c r="G54" s="3">
        <v>0.63443628076396796</v>
      </c>
      <c r="H54" s="3">
        <v>0.62983425414364635</v>
      </c>
      <c r="I54" s="3">
        <v>0.6264663346158974</v>
      </c>
      <c r="J54" s="3">
        <f t="shared" si="4"/>
        <v>206.66958297492874</v>
      </c>
      <c r="K54" s="3">
        <f t="shared" si="5"/>
        <v>1404.1005248651234</v>
      </c>
      <c r="L54" s="3">
        <f t="shared" si="6"/>
        <v>206.66958297492874</v>
      </c>
      <c r="M54" s="3">
        <f t="shared" si="7"/>
        <v>795.11768292881652</v>
      </c>
      <c r="N54" t="s">
        <v>37</v>
      </c>
    </row>
    <row r="55" spans="1:14" x14ac:dyDescent="0.3">
      <c r="A55" t="s">
        <v>10</v>
      </c>
      <c r="B55">
        <v>300</v>
      </c>
      <c r="C55">
        <v>10</v>
      </c>
      <c r="D55">
        <v>0.1</v>
      </c>
      <c r="E55">
        <v>1</v>
      </c>
      <c r="F55" s="3">
        <v>0.64009471191791634</v>
      </c>
      <c r="G55" s="3">
        <v>0.64446712679386609</v>
      </c>
      <c r="H55" s="3">
        <v>0.64009471191791634</v>
      </c>
      <c r="I55" s="3">
        <v>0.63689746376411061</v>
      </c>
      <c r="J55" s="3">
        <f t="shared" si="4"/>
        <v>211.66545337426973</v>
      </c>
      <c r="K55" s="3">
        <f t="shared" si="5"/>
        <v>1427.8813224579774</v>
      </c>
      <c r="L55" s="3">
        <f t="shared" si="6"/>
        <v>211.66545337426973</v>
      </c>
      <c r="M55" s="3">
        <f t="shared" si="7"/>
        <v>810.02205629662831</v>
      </c>
      <c r="N55" t="s">
        <v>38</v>
      </c>
    </row>
    <row r="56" spans="1:14" x14ac:dyDescent="0.3">
      <c r="A56" t="s">
        <v>10</v>
      </c>
      <c r="B56">
        <v>300</v>
      </c>
      <c r="C56">
        <v>10</v>
      </c>
      <c r="D56">
        <v>0.1</v>
      </c>
      <c r="E56">
        <v>1</v>
      </c>
      <c r="F56" s="3">
        <v>0.59747434885556427</v>
      </c>
      <c r="G56" s="3">
        <v>0.60535810573280402</v>
      </c>
      <c r="H56" s="3">
        <v>0.59747434885556427</v>
      </c>
      <c r="I56" s="3">
        <v>0.59601786647635568</v>
      </c>
      <c r="J56" s="3">
        <f t="shared" si="4"/>
        <v>190.91337633085345</v>
      </c>
      <c r="K56" s="3">
        <f t="shared" si="5"/>
        <v>1335.1629504347527</v>
      </c>
      <c r="L56" s="3">
        <f t="shared" si="6"/>
        <v>190.91337633085345</v>
      </c>
      <c r="M56" s="3">
        <f t="shared" si="7"/>
        <v>751.61181398773579</v>
      </c>
      <c r="N56" t="s">
        <v>43</v>
      </c>
    </row>
  </sheetData>
  <conditionalFormatting sqref="J28:J56">
    <cfRule type="dataBar" priority="4">
      <dataBar>
        <cfvo type="min"/>
        <cfvo type="max"/>
        <color rgb="FF63C384"/>
      </dataBar>
      <extLst>
        <ext xmlns:x14="http://schemas.microsoft.com/office/spreadsheetml/2009/9/main" uri="{B025F937-C7B1-47D3-B67F-A62EFF666E3E}">
          <x14:id>{6D07BC94-28B0-4D21-8016-59E881D154F7}</x14:id>
        </ext>
      </extLst>
    </cfRule>
  </conditionalFormatting>
  <conditionalFormatting sqref="K28:K56">
    <cfRule type="dataBar" priority="3">
      <dataBar>
        <cfvo type="min"/>
        <cfvo type="max"/>
        <color rgb="FF63C384"/>
      </dataBar>
      <extLst>
        <ext xmlns:x14="http://schemas.microsoft.com/office/spreadsheetml/2009/9/main" uri="{B025F937-C7B1-47D3-B67F-A62EFF666E3E}">
          <x14:id>{7927E8FA-940C-4BBD-A167-673A3DD1F37B}</x14:id>
        </ext>
      </extLst>
    </cfRule>
  </conditionalFormatting>
  <conditionalFormatting sqref="L28:L56">
    <cfRule type="dataBar" priority="2">
      <dataBar>
        <cfvo type="min"/>
        <cfvo type="max"/>
        <color rgb="FF63C384"/>
      </dataBar>
      <extLst>
        <ext xmlns:x14="http://schemas.microsoft.com/office/spreadsheetml/2009/9/main" uri="{B025F937-C7B1-47D3-B67F-A62EFF666E3E}">
          <x14:id>{2CB1465F-F2C1-4AD0-B784-67575BBA8999}</x14:id>
        </ext>
      </extLst>
    </cfRule>
  </conditionalFormatting>
  <conditionalFormatting sqref="M28:M56">
    <cfRule type="dataBar" priority="1">
      <dataBar>
        <cfvo type="min"/>
        <cfvo type="max"/>
        <color rgb="FF63C384"/>
      </dataBar>
      <extLst>
        <ext xmlns:x14="http://schemas.microsoft.com/office/spreadsheetml/2009/9/main" uri="{B025F937-C7B1-47D3-B67F-A62EFF666E3E}">
          <x14:id>{E8507A01-CC07-4061-B03B-9BFFA908DCBF}</x14:id>
        </ext>
      </extLst>
    </cfRule>
  </conditionalFormatting>
  <pageMargins left="0.75" right="0.75" top="1" bottom="1" header="0.5" footer="0.5"/>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D07BC94-28B0-4D21-8016-59E881D154F7}">
            <x14:dataBar minLength="0" maxLength="100" border="1" negativeBarBorderColorSameAsPositive="0">
              <x14:cfvo type="autoMin"/>
              <x14:cfvo type="autoMax"/>
              <x14:borderColor rgb="FF63C384"/>
              <x14:negativeFillColor rgb="FFFF0000"/>
              <x14:negativeBorderColor rgb="FFFF0000"/>
              <x14:axisColor rgb="FF000000"/>
            </x14:dataBar>
          </x14:cfRule>
          <xm:sqref>J28:J56</xm:sqref>
        </x14:conditionalFormatting>
        <x14:conditionalFormatting xmlns:xm="http://schemas.microsoft.com/office/excel/2006/main">
          <x14:cfRule type="dataBar" id="{7927E8FA-940C-4BBD-A167-673A3DD1F37B}">
            <x14:dataBar minLength="0" maxLength="100" border="1" negativeBarBorderColorSameAsPositive="0">
              <x14:cfvo type="autoMin"/>
              <x14:cfvo type="autoMax"/>
              <x14:borderColor rgb="FF63C384"/>
              <x14:negativeFillColor rgb="FFFF0000"/>
              <x14:negativeBorderColor rgb="FFFF0000"/>
              <x14:axisColor rgb="FF000000"/>
            </x14:dataBar>
          </x14:cfRule>
          <xm:sqref>K28:K56</xm:sqref>
        </x14:conditionalFormatting>
        <x14:conditionalFormatting xmlns:xm="http://schemas.microsoft.com/office/excel/2006/main">
          <x14:cfRule type="dataBar" id="{2CB1465F-F2C1-4AD0-B784-67575BBA8999}">
            <x14:dataBar minLength="0" maxLength="100" border="1" negativeBarBorderColorSameAsPositive="0">
              <x14:cfvo type="autoMin"/>
              <x14:cfvo type="autoMax"/>
              <x14:borderColor rgb="FF63C384"/>
              <x14:negativeFillColor rgb="FFFF0000"/>
              <x14:negativeBorderColor rgb="FFFF0000"/>
              <x14:axisColor rgb="FF000000"/>
            </x14:dataBar>
          </x14:cfRule>
          <xm:sqref>L28:L56</xm:sqref>
        </x14:conditionalFormatting>
        <x14:conditionalFormatting xmlns:xm="http://schemas.microsoft.com/office/excel/2006/main">
          <x14:cfRule type="dataBar" id="{E8507A01-CC07-4061-B03B-9BFFA908DCBF}">
            <x14:dataBar minLength="0" maxLength="100" border="1" negativeBarBorderColorSameAsPositive="0">
              <x14:cfvo type="autoMin"/>
              <x14:cfvo type="autoMax"/>
              <x14:borderColor rgb="FF63C384"/>
              <x14:negativeFillColor rgb="FFFF0000"/>
              <x14:negativeBorderColor rgb="FFFF0000"/>
              <x14:axisColor rgb="FF000000"/>
            </x14:dataBar>
          </x14:cfRule>
          <xm:sqref>M28:M56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Ivanov</cp:lastModifiedBy>
  <dcterms:created xsi:type="dcterms:W3CDTF">2026-02-11T14:01:36Z</dcterms:created>
  <dcterms:modified xsi:type="dcterms:W3CDTF">2026-02-12T14:22:54Z</dcterms:modified>
</cp:coreProperties>
</file>