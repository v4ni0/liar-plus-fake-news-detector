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L\Fake News Detection\excel\model reports\"/>
    </mc:Choice>
  </mc:AlternateContent>
  <xr:revisionPtr revIDLastSave="0" documentId="13_ncr:1_{E53ECD50-170A-4E05-82A1-997F2E72EB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K2" i="1"/>
  <c r="J2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M15" i="1"/>
  <c r="L15" i="1"/>
  <c r="K15" i="1"/>
  <c r="J15" i="1"/>
</calcChain>
</file>

<file path=xl/sharedStrings.xml><?xml version="1.0" encoding="utf-8"?>
<sst xmlns="http://schemas.openxmlformats.org/spreadsheetml/2006/main" count="80" uniqueCount="53">
  <si>
    <t>model</t>
  </si>
  <si>
    <t>max_depth</t>
  </si>
  <si>
    <t>min_samples_split</t>
  </si>
  <si>
    <t>min_samples_leaf</t>
  </si>
  <si>
    <t>criterion</t>
  </si>
  <si>
    <t>accuracy</t>
  </si>
  <si>
    <t>precision</t>
  </si>
  <si>
    <t>recall</t>
  </si>
  <si>
    <t>f1</t>
  </si>
  <si>
    <t>Baseline(predicting the most common class)</t>
  </si>
  <si>
    <t>entropy</t>
  </si>
  <si>
    <t>gini</t>
  </si>
  <si>
    <t>Comments</t>
  </si>
  <si>
    <t>Baseline model(choosing the most common class)</t>
  </si>
  <si>
    <t>Trying only cat and numerical features(without statement)</t>
  </si>
  <si>
    <t>Same as above, but removing state_category, we see weaker results</t>
  </si>
  <si>
    <t>As the above experiment, but removing context_group feature</t>
  </si>
  <si>
    <t>Using all cat and numeric features except context_group. We see a significant improvement</t>
  </si>
  <si>
    <t>All num features and state_category, removing party_affiliation does not look benefitial</t>
  </si>
  <si>
    <t>Trying to remove adjectives column, as it seemed less important, worse performance than ~0.48</t>
  </si>
  <si>
    <t>This experiment proves that truth_index should exist in the features</t>
  </si>
  <si>
    <t>Decision Tree 1</t>
  </si>
  <si>
    <t>Decision Tree 2</t>
  </si>
  <si>
    <t>Decision Tree 3</t>
  </si>
  <si>
    <t>Decision Tree 4</t>
  </si>
  <si>
    <t>Decision Tree 6</t>
  </si>
  <si>
    <t>Decision Tree 5</t>
  </si>
  <si>
    <t>Decision Tree 7</t>
  </si>
  <si>
    <t>Decision Tree 8</t>
  </si>
  <si>
    <t>Decision Tree 9</t>
  </si>
  <si>
    <t>Decision Tree 10</t>
  </si>
  <si>
    <t>Decision Tree 11</t>
  </si>
  <si>
    <t>Decision Tree 12</t>
  </si>
  <si>
    <t>Decision Tree 13</t>
  </si>
  <si>
    <t>Decision Tree 14</t>
  </si>
  <si>
    <t>Decision Tree 15</t>
  </si>
  <si>
    <t>This is is the same experiment as Decision Tree 4, with the exception of trying to impute 0 instead of median in the job_title column, We see slight downgrade, so median imputer will be used</t>
  </si>
  <si>
    <t>Here we tried vectorizing the statement column, not great results, however</t>
  </si>
  <si>
    <t>We use Tf-idf vectorizer here, not that much of a difference</t>
  </si>
  <si>
    <t>Here we added statement column with count vectorizer to our best model until now(Decision Tree 4) We see a slightly lower f1 score, but stopwords might affect the model too much.</t>
  </si>
  <si>
    <t>The same experiment as the above, but with removed stopwords, it seems it pays out</t>
  </si>
  <si>
    <t>This model aimed to see if counting words as bgrams was better, and indeed it was, we see a significant improvement, we are using Tf-idf vectorizer</t>
  </si>
  <si>
    <t>We tried to improve our previous model with lematization, but unsuccessfully.</t>
  </si>
  <si>
    <t>Here we tried if Count vectorizer had better impact in model Decision Tree 13, but unsuccessfully</t>
  </si>
  <si>
    <t>accuracy increase</t>
  </si>
  <si>
    <t>precision increase</t>
  </si>
  <si>
    <t>recall increase</t>
  </si>
  <si>
    <t>f1 increase</t>
  </si>
  <si>
    <t>It uses all features of the processed data,  except context_group and processes the statement column using Tf-idf vectorizer, removing stopwords and using ngram_range = (1, 2)</t>
  </si>
  <si>
    <t>The imputing strategy is median</t>
  </si>
  <si>
    <t>As we can see, in most cases the model confuses different classes with some of its neighbouring classes</t>
  </si>
  <si>
    <t>When it comes to features importances(chart on the right of the model results), the statement column has weaker usage when it comes to the other features.</t>
  </si>
  <si>
    <t>Best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</si>
</sst>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auto="1"/>
      </left>
      <right style="thin">
        <color auto="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0" fillId="3" borderId="3" xfId="0" applyFont="1" applyFill="1" applyBorder="1"/>
    <xf numFmtId="164" fontId="0" fillId="3" borderId="3" xfId="0" applyNumberFormat="1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9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19051</xdr:colOff>
      <xdr:row>0</xdr:row>
      <xdr:rowOff>0</xdr:rowOff>
    </xdr:from>
    <xdr:to>
      <xdr:col>13</xdr:col>
      <xdr:colOff>2429268</xdr:colOff>
      <xdr:row>11</xdr:row>
      <xdr:rowOff>46892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7EB5-DE1F-E1E6-B188-1D994DCE3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1" y="0"/>
          <a:ext cx="2410217" cy="2037617"/>
        </a:xfrm>
        <a:prstGeom prst="rect">
          <a:avLst/>
        </a:prstGeom>
      </xdr:spPr>
    </xdr:pic>
    <xdr:clientData/>
  </xdr:twoCellAnchor>
  <xdr:twoCellAnchor editAs="oneCell">
    <xdr:from>
      <xdr:col>16</xdr:col>
      <xdr:colOff>200382</xdr:colOff>
      <xdr:row>0</xdr:row>
      <xdr:rowOff>0</xdr:rowOff>
    </xdr:from>
    <xdr:to>
      <xdr:col>30</xdr:col>
      <xdr:colOff>381872</xdr:colOff>
      <xdr:row>39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874CAB-D5CA-05D5-9DC0-BD917C1BB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81909" y="0"/>
          <a:ext cx="8715890" cy="7119504"/>
        </a:xfrm>
        <a:prstGeom prst="rect">
          <a:avLst/>
        </a:prstGeom>
      </xdr:spPr>
    </xdr:pic>
    <xdr:clientData/>
  </xdr:twoCellAnchor>
  <xdr:twoCellAnchor editAs="oneCell">
    <xdr:from>
      <xdr:col>13</xdr:col>
      <xdr:colOff>3095625</xdr:colOff>
      <xdr:row>0</xdr:row>
      <xdr:rowOff>0</xdr:rowOff>
    </xdr:from>
    <xdr:to>
      <xdr:col>13</xdr:col>
      <xdr:colOff>6191250</xdr:colOff>
      <xdr:row>11</xdr:row>
      <xdr:rowOff>170197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BC9C99-2619-D86A-95C3-CC953E69B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40175" y="0"/>
          <a:ext cx="3095625" cy="21609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8E60D-E89F-43B2-A042-4111D98B65C8}" name="Table1" displayName="Table1" ref="A13:N35" totalsRowShown="0" headerRowDxfId="8">
  <autoFilter ref="A13:N35" xr:uid="{9968E60D-E89F-43B2-A042-4111D98B65C8}"/>
  <tableColumns count="14">
    <tableColumn id="1" xr3:uid="{BB73221C-6259-4039-B9E8-0570904EAEBD}" name="model"/>
    <tableColumn id="2" xr3:uid="{40980176-AA1C-4EA6-A1DC-FF73804AFD9F}" name="max_depth"/>
    <tableColumn id="3" xr3:uid="{BB12D482-7D26-4BFF-BB76-0BA9CD8CBC86}" name="min_samples_split"/>
    <tableColumn id="4" xr3:uid="{1A2D40C0-2DA7-4338-B8EE-7D2AE5123E14}" name="min_samples_leaf"/>
    <tableColumn id="5" xr3:uid="{AB5FB9C2-8014-4F9E-93BE-E159AB740542}" name="criterion"/>
    <tableColumn id="6" xr3:uid="{AF3731B8-98C7-4087-859C-06BBF01B6D77}" name="accuracy" dataDxfId="7"/>
    <tableColumn id="7" xr3:uid="{6E1BE98C-2685-47B4-8C50-6A19A83FB0D5}" name="precision" dataDxfId="6"/>
    <tableColumn id="8" xr3:uid="{C5C8E3BE-5E68-44DA-AB1C-B6C482391FFB}" name="recall" dataDxfId="5"/>
    <tableColumn id="9" xr3:uid="{DFA1B00A-C392-4847-A3CC-41509B81D16D}" name="f1" dataDxfId="4"/>
    <tableColumn id="10" xr3:uid="{C0D3D4ED-6D66-482C-A309-6D39A225498C}" name="accuracy increase" dataDxfId="3"/>
    <tableColumn id="11" xr3:uid="{FDD3C338-9546-46FD-9AED-CD205BC25F42}" name="precision increase" dataDxfId="2"/>
    <tableColumn id="12" xr3:uid="{AC12270A-ABFA-497E-AEEF-C95BC81F0F6C}" name="recall increase" dataDxfId="1"/>
    <tableColumn id="13" xr3:uid="{D7C6DF1A-E265-4C73-805E-0F2F02D010A2}" name="f1 increase" dataDxfId="0"/>
    <tableColumn id="14" xr3:uid="{9D44692F-51DB-4CA9-9A5A-8636BD858291}" name="Comments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N13" zoomScale="80" workbookViewId="0">
      <selection activeCell="K10" sqref="K10"/>
    </sheetView>
  </sheetViews>
  <sheetFormatPr defaultRowHeight="14.4" x14ac:dyDescent="0.3"/>
  <cols>
    <col min="1" max="1" width="37.88671875" customWidth="1"/>
    <col min="2" max="2" width="12.44140625" customWidth="1"/>
    <col min="3" max="3" width="18.33203125" customWidth="1"/>
    <col min="4" max="4" width="18" customWidth="1"/>
    <col min="5" max="5" width="9.88671875" customWidth="1"/>
    <col min="6" max="6" width="10.33203125" customWidth="1"/>
    <col min="7" max="7" width="10.44140625" customWidth="1"/>
    <col min="8" max="9" width="9" bestFit="1" customWidth="1"/>
    <col min="10" max="10" width="17.6640625" customWidth="1"/>
    <col min="11" max="11" width="17.77734375" customWidth="1"/>
    <col min="12" max="12" width="14.6640625" customWidth="1"/>
    <col min="13" max="13" width="11.88671875" customWidth="1"/>
    <col min="14" max="14" width="154.5546875" customWidth="1"/>
  </cols>
  <sheetData>
    <row r="1" spans="1:14" x14ac:dyDescent="0.3">
      <c r="A1" s="7" t="s">
        <v>52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44</v>
      </c>
      <c r="K1" s="8" t="s">
        <v>45</v>
      </c>
      <c r="L1" s="8" t="s">
        <v>46</v>
      </c>
      <c r="M1" s="8" t="s">
        <v>47</v>
      </c>
    </row>
    <row r="2" spans="1:14" x14ac:dyDescent="0.3">
      <c r="A2" s="5" t="s">
        <v>33</v>
      </c>
      <c r="B2" s="5">
        <v>25</v>
      </c>
      <c r="C2" s="5">
        <v>2</v>
      </c>
      <c r="D2" s="5">
        <v>1</v>
      </c>
      <c r="E2" s="5" t="s">
        <v>10</v>
      </c>
      <c r="F2" s="6">
        <v>0.48460931333859508</v>
      </c>
      <c r="G2" s="6">
        <v>0.49799664310316599</v>
      </c>
      <c r="H2" s="6">
        <v>0.48460931333859508</v>
      </c>
      <c r="I2" s="6">
        <v>0.48330433440494902</v>
      </c>
      <c r="J2" s="6">
        <f t="shared" ref="J2" si="0">100*(F2-$F$15)/$F$15</f>
        <v>135.95880193810308</v>
      </c>
      <c r="K2" s="6">
        <f t="shared" ref="K2" si="1">100*(G2-$G$15)/$G$15</f>
        <v>1080.633950143228</v>
      </c>
      <c r="L2" s="6">
        <f t="shared" ref="L2" si="2">100*(H2-$H$15)/$H$15</f>
        <v>135.95880193810308</v>
      </c>
      <c r="M2" s="6">
        <f t="shared" ref="M2" si="3">100*(I2-$I$15)/$I$15</f>
        <v>590.56265605598549</v>
      </c>
    </row>
    <row r="3" spans="1:14" x14ac:dyDescent="0.3">
      <c r="A3" t="s">
        <v>48</v>
      </c>
    </row>
    <row r="4" spans="1:14" x14ac:dyDescent="0.3">
      <c r="A4" t="s">
        <v>49</v>
      </c>
    </row>
    <row r="5" spans="1:14" x14ac:dyDescent="0.3">
      <c r="A5" t="s">
        <v>50</v>
      </c>
    </row>
    <row r="6" spans="1:14" x14ac:dyDescent="0.3">
      <c r="A6" t="s">
        <v>51</v>
      </c>
    </row>
    <row r="13" spans="1:14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3" t="s">
        <v>44</v>
      </c>
      <c r="K13" s="3" t="s">
        <v>45</v>
      </c>
      <c r="L13" s="3" t="s">
        <v>46</v>
      </c>
      <c r="M13" s="3" t="s">
        <v>47</v>
      </c>
      <c r="N13" s="4" t="s">
        <v>12</v>
      </c>
    </row>
    <row r="14" spans="1:14" x14ac:dyDescent="0.3">
      <c r="F14" s="2"/>
      <c r="G14" s="2"/>
      <c r="H14" s="2"/>
      <c r="I14" s="2"/>
      <c r="J14" s="2"/>
      <c r="K14" s="2"/>
      <c r="L14" s="2"/>
      <c r="M14" s="2"/>
    </row>
    <row r="15" spans="1:14" x14ac:dyDescent="0.3">
      <c r="A15" t="s">
        <v>9</v>
      </c>
      <c r="F15" s="2">
        <v>0.20537878195606291</v>
      </c>
      <c r="G15" s="2">
        <v>4.2180444077756007E-2</v>
      </c>
      <c r="H15" s="2">
        <v>0.20537878195606291</v>
      </c>
      <c r="I15" s="2">
        <v>6.9987035957786631E-2</v>
      </c>
      <c r="J15" s="2">
        <f t="shared" ref="J15:J30" si="4">100*(F15-$F$15)/$F$15</f>
        <v>0</v>
      </c>
      <c r="K15" s="2">
        <f t="shared" ref="K15:K30" si="5">100*(G15-$G$15)/$G$15</f>
        <v>0</v>
      </c>
      <c r="L15" s="2">
        <f t="shared" ref="L15:L30" si="6">100*(H15-$H$15)/$H$15</f>
        <v>0</v>
      </c>
      <c r="M15" s="2">
        <f t="shared" ref="M15:M30" si="7">100*(I15-$I$15)/$I$15</f>
        <v>0</v>
      </c>
      <c r="N15" t="s">
        <v>13</v>
      </c>
    </row>
    <row r="16" spans="1:14" x14ac:dyDescent="0.3">
      <c r="A16" t="s">
        <v>21</v>
      </c>
      <c r="B16">
        <v>25</v>
      </c>
      <c r="C16">
        <v>2</v>
      </c>
      <c r="D16">
        <v>1</v>
      </c>
      <c r="E16" t="s">
        <v>10</v>
      </c>
      <c r="F16" s="2">
        <v>0.45146014206787688</v>
      </c>
      <c r="G16" s="2">
        <v>0.46531279659633668</v>
      </c>
      <c r="H16" s="2">
        <v>0.45146014206787688</v>
      </c>
      <c r="I16" s="2">
        <v>0.44997190956153038</v>
      </c>
      <c r="J16" s="2">
        <f t="shared" si="4"/>
        <v>119.81829757100159</v>
      </c>
      <c r="K16" s="2">
        <f t="shared" si="5"/>
        <v>1003.1481691813692</v>
      </c>
      <c r="L16" s="2">
        <f t="shared" si="6"/>
        <v>119.81829757100159</v>
      </c>
      <c r="M16" s="2">
        <f t="shared" si="7"/>
        <v>542.93608581014257</v>
      </c>
      <c r="N16" t="s">
        <v>14</v>
      </c>
    </row>
    <row r="17" spans="1:14" x14ac:dyDescent="0.3">
      <c r="A17" t="s">
        <v>22</v>
      </c>
      <c r="B17">
        <v>25</v>
      </c>
      <c r="C17">
        <v>10</v>
      </c>
      <c r="D17">
        <v>1</v>
      </c>
      <c r="E17" t="s">
        <v>10</v>
      </c>
      <c r="F17" s="2">
        <v>0.43172849250197309</v>
      </c>
      <c r="G17" s="2">
        <v>0.4455923319383161</v>
      </c>
      <c r="H17" s="2">
        <v>0.43172849250197309</v>
      </c>
      <c r="I17" s="2">
        <v>0.42963766807006681</v>
      </c>
      <c r="J17" s="2">
        <f t="shared" si="4"/>
        <v>110.2108544953459</v>
      </c>
      <c r="K17" s="2">
        <f t="shared" si="5"/>
        <v>956.39554461993123</v>
      </c>
      <c r="L17" s="2">
        <f t="shared" si="6"/>
        <v>110.2108544953459</v>
      </c>
      <c r="M17" s="2">
        <f t="shared" si="7"/>
        <v>513.88178852038686</v>
      </c>
      <c r="N17" t="s">
        <v>15</v>
      </c>
    </row>
    <row r="18" spans="1:14" x14ac:dyDescent="0.3">
      <c r="A18" t="s">
        <v>23</v>
      </c>
      <c r="B18">
        <v>25</v>
      </c>
      <c r="C18">
        <v>2</v>
      </c>
      <c r="D18">
        <v>1</v>
      </c>
      <c r="E18" t="s">
        <v>10</v>
      </c>
      <c r="F18" s="2">
        <v>0.47198105761641668</v>
      </c>
      <c r="G18" s="2">
        <v>0.4865489734141959</v>
      </c>
      <c r="H18" s="2">
        <v>0.47198105761641668</v>
      </c>
      <c r="I18" s="2">
        <v>0.47186938843221271</v>
      </c>
      <c r="J18" s="2">
        <f t="shared" si="4"/>
        <v>129.81003836968344</v>
      </c>
      <c r="K18" s="2">
        <f t="shared" si="5"/>
        <v>1053.4941939380365</v>
      </c>
      <c r="L18" s="2">
        <f t="shared" si="6"/>
        <v>129.81003836968344</v>
      </c>
      <c r="M18" s="2">
        <f t="shared" si="7"/>
        <v>574.22399302182953</v>
      </c>
      <c r="N18" t="s">
        <v>16</v>
      </c>
    </row>
    <row r="19" spans="1:14" x14ac:dyDescent="0.3">
      <c r="A19" t="s">
        <v>24</v>
      </c>
      <c r="B19">
        <v>25</v>
      </c>
      <c r="C19">
        <v>2</v>
      </c>
      <c r="D19">
        <v>1</v>
      </c>
      <c r="E19" t="s">
        <v>10</v>
      </c>
      <c r="F19" s="2">
        <v>0.48145224940805048</v>
      </c>
      <c r="G19" s="2">
        <v>0.49689709708089169</v>
      </c>
      <c r="H19" s="2">
        <v>0.48145224940805048</v>
      </c>
      <c r="I19" s="2">
        <v>0.4820971336381184</v>
      </c>
      <c r="J19" s="2">
        <f t="shared" si="4"/>
        <v>134.42161104599819</v>
      </c>
      <c r="K19" s="2">
        <f t="shared" si="5"/>
        <v>1078.0271828454552</v>
      </c>
      <c r="L19" s="2">
        <f t="shared" si="6"/>
        <v>134.42161104599819</v>
      </c>
      <c r="M19" s="2">
        <f t="shared" si="7"/>
        <v>588.83776408090785</v>
      </c>
      <c r="N19" t="s">
        <v>17</v>
      </c>
    </row>
    <row r="20" spans="1:14" x14ac:dyDescent="0.3">
      <c r="A20" t="s">
        <v>26</v>
      </c>
      <c r="B20">
        <v>25</v>
      </c>
      <c r="C20">
        <v>2</v>
      </c>
      <c r="D20">
        <v>1</v>
      </c>
      <c r="E20" t="s">
        <v>10</v>
      </c>
      <c r="F20" s="2">
        <v>0.46566692975532747</v>
      </c>
      <c r="G20" s="2">
        <v>0.4779457555392766</v>
      </c>
      <c r="H20" s="2">
        <v>0.46566692975532747</v>
      </c>
      <c r="I20" s="2">
        <v>0.46518217181027888</v>
      </c>
      <c r="J20" s="2">
        <f t="shared" si="4"/>
        <v>126.73565658547363</v>
      </c>
      <c r="K20" s="2">
        <f t="shared" si="5"/>
        <v>1033.0979698986214</v>
      </c>
      <c r="L20" s="2">
        <f t="shared" si="6"/>
        <v>126.73565658547363</v>
      </c>
      <c r="M20" s="2">
        <f t="shared" si="7"/>
        <v>564.66905683912387</v>
      </c>
      <c r="N20" t="s">
        <v>18</v>
      </c>
    </row>
    <row r="21" spans="1:14" x14ac:dyDescent="0.3">
      <c r="A21" t="s">
        <v>25</v>
      </c>
      <c r="B21">
        <v>25</v>
      </c>
      <c r="C21">
        <v>2</v>
      </c>
      <c r="D21">
        <v>1</v>
      </c>
      <c r="E21" t="s">
        <v>10</v>
      </c>
      <c r="F21" s="2">
        <v>0.47119179163378061</v>
      </c>
      <c r="G21" s="2">
        <v>0.48358988509179041</v>
      </c>
      <c r="H21" s="2">
        <v>0.47119179163378061</v>
      </c>
      <c r="I21" s="2">
        <v>0.47069658295047812</v>
      </c>
      <c r="J21" s="2">
        <f t="shared" si="4"/>
        <v>129.42574064665726</v>
      </c>
      <c r="K21" s="2">
        <f t="shared" si="5"/>
        <v>1046.4788853344792</v>
      </c>
      <c r="L21" s="2">
        <f t="shared" si="6"/>
        <v>129.42574064665726</v>
      </c>
      <c r="M21" s="2">
        <f t="shared" si="7"/>
        <v>572.54824627004257</v>
      </c>
      <c r="N21" t="s">
        <v>19</v>
      </c>
    </row>
    <row r="22" spans="1:14" x14ac:dyDescent="0.3">
      <c r="A22" t="s">
        <v>27</v>
      </c>
      <c r="B22">
        <v>25</v>
      </c>
      <c r="C22">
        <v>5</v>
      </c>
      <c r="D22">
        <v>1</v>
      </c>
      <c r="E22" t="s">
        <v>10</v>
      </c>
      <c r="F22" s="2">
        <v>0.40726124704025263</v>
      </c>
      <c r="G22" s="2">
        <v>0.4393211864406395</v>
      </c>
      <c r="H22" s="2">
        <v>0.40726124704025263</v>
      </c>
      <c r="I22" s="2">
        <v>0.40475209688939501</v>
      </c>
      <c r="J22" s="2">
        <f t="shared" si="4"/>
        <v>98.297625081532928</v>
      </c>
      <c r="K22" s="2">
        <f t="shared" si="5"/>
        <v>941.52812054512469</v>
      </c>
      <c r="L22" s="2">
        <f t="shared" si="6"/>
        <v>98.297625081532928</v>
      </c>
      <c r="M22" s="2">
        <f t="shared" si="7"/>
        <v>478.32438729584902</v>
      </c>
      <c r="N22" t="s">
        <v>20</v>
      </c>
    </row>
    <row r="23" spans="1:14" x14ac:dyDescent="0.3">
      <c r="A23" t="s">
        <v>28</v>
      </c>
      <c r="B23">
        <v>25</v>
      </c>
      <c r="C23">
        <v>2</v>
      </c>
      <c r="D23">
        <v>1</v>
      </c>
      <c r="E23" t="s">
        <v>10</v>
      </c>
      <c r="F23" s="2">
        <v>0.48145224940805048</v>
      </c>
      <c r="G23" s="2">
        <v>0.49455160757904032</v>
      </c>
      <c r="H23" s="2">
        <v>0.48145224940805048</v>
      </c>
      <c r="I23" s="2">
        <v>0.4809159784229502</v>
      </c>
      <c r="J23" s="2">
        <f t="shared" si="4"/>
        <v>134.42161104599819</v>
      </c>
      <c r="K23" s="2">
        <f t="shared" si="5"/>
        <v>1072.4665740061369</v>
      </c>
      <c r="L23" s="2">
        <f t="shared" si="6"/>
        <v>134.42161104599819</v>
      </c>
      <c r="M23" s="2">
        <f t="shared" si="7"/>
        <v>587.15008692898402</v>
      </c>
      <c r="N23" t="s">
        <v>36</v>
      </c>
    </row>
    <row r="24" spans="1:14" x14ac:dyDescent="0.3">
      <c r="A24" t="s">
        <v>29</v>
      </c>
      <c r="B24">
        <v>25</v>
      </c>
      <c r="C24">
        <v>10</v>
      </c>
      <c r="D24">
        <v>2</v>
      </c>
      <c r="E24" t="s">
        <v>10</v>
      </c>
      <c r="F24" s="2">
        <v>0.23283346487766379</v>
      </c>
      <c r="G24" s="2">
        <v>0.21974062795207061</v>
      </c>
      <c r="H24" s="2">
        <v>0.23283346487766379</v>
      </c>
      <c r="I24" s="2">
        <v>0.2062933418968097</v>
      </c>
      <c r="J24" s="2">
        <f t="shared" si="4"/>
        <v>13.367828292736844</v>
      </c>
      <c r="K24" s="2">
        <f t="shared" si="5"/>
        <v>420.9538039642203</v>
      </c>
      <c r="L24" s="2">
        <f t="shared" si="6"/>
        <v>13.367828292736844</v>
      </c>
      <c r="M24" s="2">
        <f t="shared" si="7"/>
        <v>194.75936375022019</v>
      </c>
      <c r="N24" t="s">
        <v>37</v>
      </c>
    </row>
    <row r="25" spans="1:14" x14ac:dyDescent="0.3">
      <c r="A25" t="s">
        <v>30</v>
      </c>
      <c r="B25">
        <v>25</v>
      </c>
      <c r="C25">
        <v>5</v>
      </c>
      <c r="D25">
        <v>1</v>
      </c>
      <c r="E25" t="s">
        <v>11</v>
      </c>
      <c r="F25" s="2">
        <v>0.23599052880820839</v>
      </c>
      <c r="G25" s="2">
        <v>0.2418121329587104</v>
      </c>
      <c r="H25" s="2">
        <v>0.23599052880820839</v>
      </c>
      <c r="I25" s="2">
        <v>0.20474618237274439</v>
      </c>
      <c r="J25" s="2">
        <f t="shared" si="4"/>
        <v>14.905019184841754</v>
      </c>
      <c r="K25" s="2">
        <f t="shared" si="5"/>
        <v>473.28019712867558</v>
      </c>
      <c r="L25" s="2">
        <f t="shared" si="6"/>
        <v>14.905019184841754</v>
      </c>
      <c r="M25" s="2">
        <f t="shared" si="7"/>
        <v>192.54872644733669</v>
      </c>
      <c r="N25" t="s">
        <v>38</v>
      </c>
    </row>
    <row r="26" spans="1:14" x14ac:dyDescent="0.3">
      <c r="A26" t="s">
        <v>31</v>
      </c>
      <c r="B26">
        <v>25</v>
      </c>
      <c r="C26">
        <v>2</v>
      </c>
      <c r="D26">
        <v>1</v>
      </c>
      <c r="E26" t="s">
        <v>10</v>
      </c>
      <c r="F26" s="2">
        <v>0.47198105761641668</v>
      </c>
      <c r="G26" s="2">
        <v>0.49306677217154421</v>
      </c>
      <c r="H26" s="2">
        <v>0.47198105761641668</v>
      </c>
      <c r="I26" s="2">
        <v>0.47193851562595812</v>
      </c>
      <c r="J26" s="2">
        <f t="shared" si="4"/>
        <v>129.81003836968344</v>
      </c>
      <c r="K26" s="2">
        <f t="shared" si="5"/>
        <v>1068.9463753928674</v>
      </c>
      <c r="L26" s="2">
        <f t="shared" si="6"/>
        <v>129.81003836968344</v>
      </c>
      <c r="M26" s="2">
        <f t="shared" si="7"/>
        <v>574.32276444827937</v>
      </c>
      <c r="N26" t="s">
        <v>39</v>
      </c>
    </row>
    <row r="27" spans="1:14" x14ac:dyDescent="0.3">
      <c r="A27" t="s">
        <v>32</v>
      </c>
      <c r="B27">
        <v>25</v>
      </c>
      <c r="C27">
        <v>10</v>
      </c>
      <c r="D27">
        <v>1</v>
      </c>
      <c r="E27" t="s">
        <v>10</v>
      </c>
      <c r="F27" s="2">
        <v>0.47434885556432521</v>
      </c>
      <c r="G27" s="2">
        <v>0.50026837124837242</v>
      </c>
      <c r="H27" s="2">
        <v>0.47434885556432521</v>
      </c>
      <c r="I27" s="2">
        <v>0.47511541367854881</v>
      </c>
      <c r="J27" s="2">
        <f t="shared" si="4"/>
        <v>130.96293153876218</v>
      </c>
      <c r="K27" s="2">
        <f t="shared" si="5"/>
        <v>1086.0196880008443</v>
      </c>
      <c r="L27" s="2">
        <f t="shared" si="6"/>
        <v>130.96293153876218</v>
      </c>
      <c r="M27" s="2">
        <f t="shared" si="7"/>
        <v>578.86203091258119</v>
      </c>
      <c r="N27" t="s">
        <v>40</v>
      </c>
    </row>
    <row r="28" spans="1:14" x14ac:dyDescent="0.3">
      <c r="A28" t="s">
        <v>33</v>
      </c>
      <c r="B28">
        <v>25</v>
      </c>
      <c r="C28">
        <v>2</v>
      </c>
      <c r="D28">
        <v>1</v>
      </c>
      <c r="E28" t="s">
        <v>10</v>
      </c>
      <c r="F28" s="2">
        <v>0.48460931333859508</v>
      </c>
      <c r="G28" s="2">
        <v>0.49799664310316599</v>
      </c>
      <c r="H28" s="2">
        <v>0.48460931333859508</v>
      </c>
      <c r="I28" s="2">
        <v>0.48330433440494902</v>
      </c>
      <c r="J28" s="2">
        <f t="shared" si="4"/>
        <v>135.95880193810308</v>
      </c>
      <c r="K28" s="2">
        <f t="shared" si="5"/>
        <v>1080.633950143228</v>
      </c>
      <c r="L28" s="2">
        <f t="shared" si="6"/>
        <v>135.95880193810308</v>
      </c>
      <c r="M28" s="2">
        <f t="shared" si="7"/>
        <v>590.56265605598549</v>
      </c>
      <c r="N28" t="s">
        <v>41</v>
      </c>
    </row>
    <row r="29" spans="1:14" x14ac:dyDescent="0.3">
      <c r="A29" t="s">
        <v>34</v>
      </c>
      <c r="B29">
        <v>25</v>
      </c>
      <c r="C29">
        <v>2</v>
      </c>
      <c r="D29">
        <v>1</v>
      </c>
      <c r="E29" t="s">
        <v>10</v>
      </c>
      <c r="F29" s="2">
        <v>0.47908445146014211</v>
      </c>
      <c r="G29" s="2">
        <v>0.50629361032735276</v>
      </c>
      <c r="H29" s="2">
        <v>0.47908445146014211</v>
      </c>
      <c r="I29" s="2">
        <v>0.47835562977212981</v>
      </c>
      <c r="J29" s="2">
        <f t="shared" si="4"/>
        <v>133.26871787691954</v>
      </c>
      <c r="K29" s="2">
        <f t="shared" si="5"/>
        <v>1100.3041252814792</v>
      </c>
      <c r="L29" s="2">
        <f t="shared" si="6"/>
        <v>133.26871787691954</v>
      </c>
      <c r="M29" s="2">
        <f t="shared" si="7"/>
        <v>583.4917684764572</v>
      </c>
      <c r="N29" t="s">
        <v>42</v>
      </c>
    </row>
    <row r="30" spans="1:14" x14ac:dyDescent="0.3">
      <c r="A30" t="s">
        <v>35</v>
      </c>
      <c r="B30">
        <v>25</v>
      </c>
      <c r="C30">
        <v>2</v>
      </c>
      <c r="D30">
        <v>1</v>
      </c>
      <c r="E30" t="s">
        <v>10</v>
      </c>
      <c r="F30" s="2">
        <v>0.47592738752959751</v>
      </c>
      <c r="G30" s="2">
        <v>0.48570178668156883</v>
      </c>
      <c r="H30" s="2">
        <v>0.47592738752959751</v>
      </c>
      <c r="I30" s="2">
        <v>0.47565341703790393</v>
      </c>
      <c r="J30" s="2">
        <f t="shared" si="4"/>
        <v>131.73152698481462</v>
      </c>
      <c r="K30" s="2">
        <f t="shared" si="5"/>
        <v>1051.485711687197</v>
      </c>
      <c r="L30" s="2">
        <f t="shared" si="6"/>
        <v>131.73152698481462</v>
      </c>
      <c r="M30" s="2">
        <f t="shared" si="7"/>
        <v>579.63074950737871</v>
      </c>
      <c r="N30" t="s">
        <v>43</v>
      </c>
    </row>
    <row r="31" spans="1:14" x14ac:dyDescent="0.3">
      <c r="F31" s="2"/>
      <c r="G31" s="2"/>
      <c r="H31" s="2"/>
      <c r="I31" s="2"/>
      <c r="J31" s="2"/>
      <c r="K31" s="2"/>
      <c r="L31" s="2"/>
      <c r="M31" s="2"/>
    </row>
    <row r="32" spans="1:14" x14ac:dyDescent="0.3">
      <c r="F32" s="2"/>
      <c r="G32" s="2"/>
      <c r="H32" s="2"/>
      <c r="I32" s="2"/>
      <c r="J32" s="2"/>
      <c r="K32" s="2"/>
      <c r="L32" s="2"/>
      <c r="M32" s="2"/>
    </row>
    <row r="33" spans="6:13" x14ac:dyDescent="0.3">
      <c r="F33" s="2"/>
      <c r="G33" s="2"/>
      <c r="H33" s="2"/>
      <c r="I33" s="2"/>
      <c r="J33" s="2"/>
      <c r="K33" s="2"/>
      <c r="L33" s="2"/>
      <c r="M33" s="2"/>
    </row>
    <row r="34" spans="6:13" x14ac:dyDescent="0.3">
      <c r="F34" s="2"/>
      <c r="G34" s="2"/>
      <c r="H34" s="2"/>
      <c r="I34" s="2"/>
      <c r="J34" s="2"/>
      <c r="K34" s="2"/>
      <c r="L34" s="2"/>
      <c r="M34" s="2"/>
    </row>
    <row r="35" spans="6:13" x14ac:dyDescent="0.3">
      <c r="F35" s="2"/>
      <c r="G35" s="2"/>
      <c r="H35" s="2"/>
      <c r="I35" s="2"/>
      <c r="J35" s="2"/>
      <c r="K35" s="2"/>
      <c r="L35" s="2"/>
      <c r="M35" s="2"/>
    </row>
  </sheetData>
  <conditionalFormatting sqref="J15:M30">
    <cfRule type="colorScale" priority="2">
      <colorScale>
        <cfvo type="min"/>
        <cfvo type="max"/>
        <color rgb="FFFFEF9C"/>
        <color rgb="FF63BE7B"/>
      </colorScale>
    </cfRule>
  </conditionalFormatting>
  <conditionalFormatting sqref="J2:M2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Ivanov</cp:lastModifiedBy>
  <dcterms:created xsi:type="dcterms:W3CDTF">2026-02-10T17:44:30Z</dcterms:created>
  <dcterms:modified xsi:type="dcterms:W3CDTF">2026-02-12T13:12:49Z</dcterms:modified>
</cp:coreProperties>
</file>