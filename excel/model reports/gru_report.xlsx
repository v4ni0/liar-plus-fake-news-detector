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L\Fake News Detection\excel\model reports\"/>
    </mc:Choice>
  </mc:AlternateContent>
  <xr:revisionPtr revIDLastSave="0" documentId="13_ncr:1_{52CB10F1-ADE7-4723-9C48-8FB60C0B12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1" l="1"/>
  <c r="N2" i="1"/>
  <c r="M2" i="1"/>
  <c r="L2" i="1"/>
  <c r="K2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N28" i="1"/>
  <c r="N29" i="1"/>
  <c r="N30" i="1"/>
  <c r="N31" i="1"/>
  <c r="N32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21" i="1"/>
  <c r="N22" i="1"/>
  <c r="N23" i="1"/>
  <c r="N24" i="1"/>
  <c r="N25" i="1"/>
  <c r="N26" i="1"/>
  <c r="N27" i="1"/>
  <c r="N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L20" i="1"/>
  <c r="M20" i="1"/>
  <c r="K20" i="1"/>
</calcChain>
</file>

<file path=xl/sharedStrings.xml><?xml version="1.0" encoding="utf-8"?>
<sst xmlns="http://schemas.openxmlformats.org/spreadsheetml/2006/main" count="110" uniqueCount="22">
  <si>
    <t>model</t>
  </si>
  <si>
    <t>hidden_size</t>
  </si>
  <si>
    <t>n_layers</t>
  </si>
  <si>
    <t>vocab_size</t>
  </si>
  <si>
    <t>embed_dim</t>
  </si>
  <si>
    <t>accuracy</t>
  </si>
  <si>
    <t>precision</t>
  </si>
  <si>
    <t>recall</t>
  </si>
  <si>
    <t>f1</t>
  </si>
  <si>
    <t>dropuot</t>
  </si>
  <si>
    <t>Baseline(predicting the most common class)</t>
  </si>
  <si>
    <t>Comments</t>
  </si>
  <si>
    <t>Here are experiments that limit the words of each sentence to 50, which might be enough given that most statements are short, but the results are bad</t>
  </si>
  <si>
    <t>Limiting the sentences to 30 words, but the results do not look any better</t>
  </si>
  <si>
    <t>accuracy increase</t>
  </si>
  <si>
    <t>precision increase</t>
  </si>
  <si>
    <t>recall increase</t>
  </si>
  <si>
    <t>f1 increase</t>
  </si>
  <si>
    <t>Best model</t>
  </si>
  <si>
    <t>We concentrated out time and resources to analyze the statement column, but the results are disappointing, we cannot surpass the results even of a naïve bayes classifier</t>
  </si>
  <si>
    <t>The results are not good, but it tells us that the metadata for this dataset are more important than the statement column</t>
  </si>
  <si>
    <t>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</si>
</sst>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402849</xdr:colOff>
      <xdr:row>0</xdr:row>
      <xdr:rowOff>0</xdr:rowOff>
    </xdr:from>
    <xdr:to>
      <xdr:col>36</xdr:col>
      <xdr:colOff>19979</xdr:colOff>
      <xdr:row>28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3CEE1A-DFEE-A488-34E7-A6066F1DC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7528" y="0"/>
          <a:ext cx="8071017" cy="5324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222427</xdr:colOff>
      <xdr:row>0</xdr:row>
      <xdr:rowOff>0</xdr:rowOff>
    </xdr:from>
    <xdr:to>
      <xdr:col>45</xdr:col>
      <xdr:colOff>89898</xdr:colOff>
      <xdr:row>22</xdr:row>
      <xdr:rowOff>99051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95301E-126E-4BD5-5C70-60B7BAD3E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64842" y="0"/>
          <a:ext cx="4698263" cy="4210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0F242A-0420-415C-93C0-FA16B85352D6}" name="Table1" displayName="Table1" ref="A19:O95" totalsRowShown="0" headerRowDxfId="6">
  <autoFilter ref="A19:O95" xr:uid="{800F242A-0420-415C-93C0-FA16B85352D6}"/>
  <tableColumns count="15">
    <tableColumn id="1" xr3:uid="{9A2AD66C-9C97-4630-88F1-1D977D4F94FE}" name="model"/>
    <tableColumn id="2" xr3:uid="{90BB9A58-6D42-4D05-9B3F-3D004CC42895}" name="hidden_size"/>
    <tableColumn id="3" xr3:uid="{0B0096AD-6327-42E5-8955-2F0132171D94}" name="n_layers"/>
    <tableColumn id="4" xr3:uid="{083E3FE1-56A3-4BD1-BC54-FFB03C74F123}" name="vocab_size"/>
    <tableColumn id="5" xr3:uid="{9563175B-B12A-4CDD-9C71-F7CCD988AB13}" name="embed_dim"/>
    <tableColumn id="6" xr3:uid="{8744E7E3-0910-4064-B892-683F87B1D563}" name="dropuot"/>
    <tableColumn id="7" xr3:uid="{6AADBFD6-5841-4D43-A48B-8F9F8AF282BD}" name="accuracy" dataDxfId="5"/>
    <tableColumn id="8" xr3:uid="{66AAC570-2ED0-4D99-A083-BD18FF1A7B5C}" name="precision" dataDxfId="4"/>
    <tableColumn id="9" xr3:uid="{016E1E4E-1891-4C4E-82FB-8FFA650A57F7}" name="recall" dataDxfId="3"/>
    <tableColumn id="10" xr3:uid="{897287F4-F368-4318-A8FE-D83E9D12E643}" name="f1" dataDxfId="2"/>
    <tableColumn id="11" xr3:uid="{BF657DFA-C339-4CAF-A753-A951B880BC8A}" name="accuracy increase">
      <calculatedColumnFormula>100*(G20-G$20)/G$20</calculatedColumnFormula>
    </tableColumn>
    <tableColumn id="12" xr3:uid="{839A0285-DE78-4328-A065-C7F79824ADB5}" name="precision increase">
      <calculatedColumnFormula>100*(H20-H$20)/H$20</calculatedColumnFormula>
    </tableColumn>
    <tableColumn id="13" xr3:uid="{BD77D8DD-FFC2-48C2-A310-F07318777DB5}" name="recall increase">
      <calculatedColumnFormula>100*(I20-I$20)/I$20</calculatedColumnFormula>
    </tableColumn>
    <tableColumn id="14" xr3:uid="{FE209544-F323-4A08-8373-DFA571AB3477}" name="f1 increase">
      <calculatedColumnFormula>100*(J20-J$20)/J$20</calculatedColumnFormula>
    </tableColumn>
    <tableColumn id="15" xr3:uid="{A345017C-389C-4AEE-9DFC-2B9E8C1C65BD}" name="Comment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"/>
  <sheetViews>
    <sheetView tabSelected="1" zoomScale="53" zoomScaleNormal="53" workbookViewId="0">
      <selection activeCell="K21" sqref="K21"/>
    </sheetView>
  </sheetViews>
  <sheetFormatPr defaultRowHeight="14.4" x14ac:dyDescent="0.3"/>
  <cols>
    <col min="1" max="1" width="10.21875" customWidth="1"/>
    <col min="2" max="2" width="17.44140625" customWidth="1"/>
    <col min="3" max="3" width="13.21875" customWidth="1"/>
    <col min="4" max="5" width="16.5546875" customWidth="1"/>
    <col min="6" max="6" width="12.33203125" customWidth="1"/>
    <col min="7" max="7" width="14.21875" customWidth="1"/>
    <col min="8" max="8" width="14" customWidth="1"/>
    <col min="9" max="9" width="9.88671875" customWidth="1"/>
    <col min="11" max="11" width="30.44140625" customWidth="1"/>
    <col min="12" max="12" width="24.77734375" customWidth="1"/>
    <col min="13" max="13" width="35.33203125" customWidth="1"/>
    <col min="14" max="14" width="39.6640625" customWidth="1"/>
    <col min="15" max="15" width="13.44140625" customWidth="1"/>
  </cols>
  <sheetData>
    <row r="1" spans="1:14" x14ac:dyDescent="0.3">
      <c r="A1" s="4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6</v>
      </c>
      <c r="I1" s="1" t="s">
        <v>7</v>
      </c>
      <c r="J1" s="1" t="s">
        <v>8</v>
      </c>
      <c r="K1" s="3" t="s">
        <v>14</v>
      </c>
      <c r="L1" s="3" t="s">
        <v>15</v>
      </c>
      <c r="M1" s="3" t="s">
        <v>16</v>
      </c>
      <c r="N1" s="3" t="s">
        <v>17</v>
      </c>
    </row>
    <row r="2" spans="1:14" x14ac:dyDescent="0.3">
      <c r="A2" t="s">
        <v>21</v>
      </c>
      <c r="B2">
        <v>32</v>
      </c>
      <c r="C2">
        <v>2</v>
      </c>
      <c r="D2">
        <v>5000</v>
      </c>
      <c r="E2">
        <v>64</v>
      </c>
      <c r="F2">
        <v>0.5</v>
      </c>
      <c r="G2" s="2">
        <v>0.22178374112075769</v>
      </c>
      <c r="H2" s="2">
        <v>0.22192024981437511</v>
      </c>
      <c r="I2" s="2">
        <v>0.22178374112075769</v>
      </c>
      <c r="J2" s="2">
        <v>0.22062723128652889</v>
      </c>
      <c r="K2">
        <f t="shared" ref="K2" si="0">100*(G2-G$20)/G$20</f>
        <v>6.037735849056606</v>
      </c>
      <c r="L2">
        <f t="shared" ref="L2" si="1">100*(H2-H$20)/H$20</f>
        <v>407.29246835780475</v>
      </c>
      <c r="M2">
        <f t="shared" ref="M2" si="2">100*(I2-I$20)/I$20</f>
        <v>6.037735849056606</v>
      </c>
      <c r="N2">
        <f t="shared" ref="N2" si="3">100*(J2-J$20)/J$20</f>
        <v>204.91076078699123</v>
      </c>
    </row>
    <row r="3" spans="1:14" x14ac:dyDescent="0.3">
      <c r="A3" t="s">
        <v>19</v>
      </c>
    </row>
    <row r="4" spans="1:14" x14ac:dyDescent="0.3">
      <c r="A4" t="s">
        <v>20</v>
      </c>
    </row>
    <row r="19" spans="1:15" x14ac:dyDescent="0.3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9</v>
      </c>
      <c r="G19" s="1" t="s">
        <v>5</v>
      </c>
      <c r="H19" s="1" t="s">
        <v>6</v>
      </c>
      <c r="I19" s="1" t="s">
        <v>7</v>
      </c>
      <c r="J19" s="1" t="s">
        <v>8</v>
      </c>
      <c r="K19" s="3" t="s">
        <v>14</v>
      </c>
      <c r="L19" s="3" t="s">
        <v>15</v>
      </c>
      <c r="M19" s="3" t="s">
        <v>16</v>
      </c>
      <c r="N19" s="3" t="s">
        <v>17</v>
      </c>
      <c r="O19" t="s">
        <v>11</v>
      </c>
    </row>
    <row r="20" spans="1:15" x14ac:dyDescent="0.3">
      <c r="A20" t="s">
        <v>10</v>
      </c>
      <c r="G20" s="2">
        <v>0.20915548539857931</v>
      </c>
      <c r="H20" s="2">
        <v>4.3746017072315332E-2</v>
      </c>
      <c r="I20" s="2">
        <v>0.20915548539857931</v>
      </c>
      <c r="J20" s="2">
        <v>7.2357968186192584E-2</v>
      </c>
      <c r="K20">
        <f>100*(G20-G$20)/G$20</f>
        <v>0</v>
      </c>
      <c r="L20">
        <f t="shared" ref="L20:N35" si="4">100*(H20-H$20)/H$20</f>
        <v>0</v>
      </c>
      <c r="M20">
        <f t="shared" si="4"/>
        <v>0</v>
      </c>
      <c r="N20">
        <f t="shared" si="4"/>
        <v>0</v>
      </c>
      <c r="O20" t="s">
        <v>12</v>
      </c>
    </row>
    <row r="21" spans="1:15" x14ac:dyDescent="0.3">
      <c r="A21" t="s">
        <v>21</v>
      </c>
      <c r="B21">
        <v>32</v>
      </c>
      <c r="C21">
        <v>1</v>
      </c>
      <c r="D21">
        <v>5000</v>
      </c>
      <c r="E21">
        <v>32</v>
      </c>
      <c r="F21">
        <v>0.2</v>
      </c>
      <c r="G21" s="2">
        <v>0.20126282557221781</v>
      </c>
      <c r="H21" s="2">
        <v>0.1929055102124734</v>
      </c>
      <c r="I21" s="2">
        <v>0.20126282557221781</v>
      </c>
      <c r="J21" s="2">
        <v>0.19247597578255959</v>
      </c>
      <c r="K21">
        <f t="shared" ref="K21:N56" si="5">100*(G21-G$20)/G$20</f>
        <v>-3.7735849056603867</v>
      </c>
      <c r="L21">
        <f t="shared" si="4"/>
        <v>340.96702539476144</v>
      </c>
      <c r="M21">
        <f t="shared" si="4"/>
        <v>-3.7735849056603867</v>
      </c>
      <c r="N21">
        <f t="shared" si="4"/>
        <v>166.00522459016207</v>
      </c>
    </row>
    <row r="22" spans="1:15" x14ac:dyDescent="0.3">
      <c r="A22" t="s">
        <v>21</v>
      </c>
      <c r="B22">
        <v>32</v>
      </c>
      <c r="C22">
        <v>2</v>
      </c>
      <c r="D22">
        <v>5000</v>
      </c>
      <c r="E22">
        <v>32</v>
      </c>
      <c r="F22">
        <v>0.2</v>
      </c>
      <c r="G22" s="2">
        <v>0.19494869771112869</v>
      </c>
      <c r="H22" s="2">
        <v>0.18243990597182269</v>
      </c>
      <c r="I22" s="2">
        <v>0.19494869771112869</v>
      </c>
      <c r="J22" s="2">
        <v>0.1825396791167421</v>
      </c>
      <c r="K22">
        <f t="shared" si="5"/>
        <v>-6.7924528301886573</v>
      </c>
      <c r="L22">
        <f t="shared" si="4"/>
        <v>317.04346631199888</v>
      </c>
      <c r="M22">
        <f t="shared" si="4"/>
        <v>-6.7924528301886573</v>
      </c>
      <c r="N22">
        <f t="shared" si="4"/>
        <v>152.27308573262908</v>
      </c>
    </row>
    <row r="23" spans="1:15" x14ac:dyDescent="0.3">
      <c r="A23" t="s">
        <v>21</v>
      </c>
      <c r="B23">
        <v>32</v>
      </c>
      <c r="C23">
        <v>3</v>
      </c>
      <c r="D23">
        <v>5000</v>
      </c>
      <c r="E23">
        <v>32</v>
      </c>
      <c r="F23">
        <v>0.2</v>
      </c>
      <c r="G23" s="2">
        <v>0.20678768745067089</v>
      </c>
      <c r="H23" s="2">
        <v>0.19966406314435881</v>
      </c>
      <c r="I23" s="2">
        <v>0.20678768745067089</v>
      </c>
      <c r="J23" s="2">
        <v>0.2010595458082069</v>
      </c>
      <c r="K23">
        <f t="shared" si="5"/>
        <v>-1.1320754716981027</v>
      </c>
      <c r="L23">
        <f t="shared" si="4"/>
        <v>356.41655288137349</v>
      </c>
      <c r="M23">
        <f t="shared" si="4"/>
        <v>-1.1320754716981027</v>
      </c>
      <c r="N23">
        <f t="shared" si="4"/>
        <v>177.86787115254194</v>
      </c>
    </row>
    <row r="24" spans="1:15" x14ac:dyDescent="0.3">
      <c r="A24" t="s">
        <v>21</v>
      </c>
      <c r="B24">
        <v>64</v>
      </c>
      <c r="C24">
        <v>1</v>
      </c>
      <c r="D24">
        <v>5000</v>
      </c>
      <c r="E24">
        <v>32</v>
      </c>
      <c r="F24">
        <v>0.2</v>
      </c>
      <c r="G24" s="2">
        <v>0.18863456985003951</v>
      </c>
      <c r="H24" s="2">
        <v>0.18362974759047981</v>
      </c>
      <c r="I24" s="2">
        <v>0.18863456985003951</v>
      </c>
      <c r="J24" s="2">
        <v>0.18492943856000399</v>
      </c>
      <c r="K24">
        <f t="shared" si="5"/>
        <v>-9.8113207547169523</v>
      </c>
      <c r="L24">
        <f t="shared" si="4"/>
        <v>319.76335191139015</v>
      </c>
      <c r="M24">
        <f t="shared" si="4"/>
        <v>-9.8113207547169523</v>
      </c>
      <c r="N24">
        <f t="shared" si="4"/>
        <v>155.57577582076496</v>
      </c>
    </row>
    <row r="25" spans="1:15" x14ac:dyDescent="0.3">
      <c r="A25" t="s">
        <v>21</v>
      </c>
      <c r="B25">
        <v>64</v>
      </c>
      <c r="C25">
        <v>2</v>
      </c>
      <c r="D25">
        <v>5000</v>
      </c>
      <c r="E25">
        <v>32</v>
      </c>
      <c r="F25">
        <v>0.2</v>
      </c>
      <c r="G25" s="2">
        <v>0.18232044198895031</v>
      </c>
      <c r="H25" s="2">
        <v>0.18672232589258869</v>
      </c>
      <c r="I25" s="2">
        <v>0.18232044198895031</v>
      </c>
      <c r="J25" s="2">
        <v>0.18352979290050669</v>
      </c>
      <c r="K25">
        <f t="shared" si="5"/>
        <v>-12.830188679245261</v>
      </c>
      <c r="L25">
        <f t="shared" si="4"/>
        <v>326.83274590215416</v>
      </c>
      <c r="M25">
        <f t="shared" si="4"/>
        <v>-12.830188679245261</v>
      </c>
      <c r="N25">
        <f t="shared" si="4"/>
        <v>153.64144060574662</v>
      </c>
    </row>
    <row r="26" spans="1:15" x14ac:dyDescent="0.3">
      <c r="A26" t="s">
        <v>21</v>
      </c>
      <c r="B26">
        <v>64</v>
      </c>
      <c r="C26">
        <v>3</v>
      </c>
      <c r="D26">
        <v>5000</v>
      </c>
      <c r="E26">
        <v>32</v>
      </c>
      <c r="F26">
        <v>0.2</v>
      </c>
      <c r="G26" s="2">
        <v>0.19494869771112869</v>
      </c>
      <c r="H26" s="2">
        <v>0.19564346538741509</v>
      </c>
      <c r="I26" s="2">
        <v>0.19494869771112869</v>
      </c>
      <c r="J26" s="2">
        <v>0.19125528200853339</v>
      </c>
      <c r="K26">
        <f t="shared" si="5"/>
        <v>-6.7924528301886573</v>
      </c>
      <c r="L26">
        <f t="shared" si="4"/>
        <v>347.22577843830283</v>
      </c>
      <c r="M26">
        <f t="shared" si="4"/>
        <v>-6.7924528301886573</v>
      </c>
      <c r="N26">
        <f t="shared" si="4"/>
        <v>164.31820406619559</v>
      </c>
    </row>
    <row r="27" spans="1:15" x14ac:dyDescent="0.3">
      <c r="A27" t="s">
        <v>21</v>
      </c>
      <c r="B27">
        <v>32</v>
      </c>
      <c r="C27">
        <v>1</v>
      </c>
      <c r="D27">
        <v>5000</v>
      </c>
      <c r="E27">
        <v>64</v>
      </c>
      <c r="F27">
        <v>0.2</v>
      </c>
      <c r="G27" s="2">
        <v>0.19179163378058409</v>
      </c>
      <c r="H27" s="2">
        <v>0.18476462942632621</v>
      </c>
      <c r="I27" s="2">
        <v>0.19179163378058409</v>
      </c>
      <c r="J27" s="2">
        <v>0.18531032143002621</v>
      </c>
      <c r="K27">
        <f t="shared" si="5"/>
        <v>-8.3018867924528124</v>
      </c>
      <c r="L27">
        <f t="shared" si="4"/>
        <v>322.35760371257777</v>
      </c>
      <c r="M27">
        <f t="shared" si="4"/>
        <v>-8.3018867924528124</v>
      </c>
      <c r="N27">
        <f t="shared" si="4"/>
        <v>156.10216272682365</v>
      </c>
    </row>
    <row r="28" spans="1:15" x14ac:dyDescent="0.3">
      <c r="A28" t="s">
        <v>21</v>
      </c>
      <c r="B28">
        <v>32</v>
      </c>
      <c r="C28">
        <v>2</v>
      </c>
      <c r="D28">
        <v>5000</v>
      </c>
      <c r="E28">
        <v>64</v>
      </c>
      <c r="F28">
        <v>0.2</v>
      </c>
      <c r="G28" s="2">
        <v>0.17600631412786111</v>
      </c>
      <c r="H28" s="2">
        <v>0.17377088817084471</v>
      </c>
      <c r="I28" s="2">
        <v>0.17600631412786111</v>
      </c>
      <c r="J28" s="2">
        <v>0.1741618311265847</v>
      </c>
      <c r="K28">
        <f t="shared" si="5"/>
        <v>-15.849056603773571</v>
      </c>
      <c r="L28">
        <f t="shared" si="4"/>
        <v>297.22676440140566</v>
      </c>
      <c r="M28">
        <f t="shared" si="4"/>
        <v>-15.849056603773571</v>
      </c>
      <c r="N28">
        <f t="shared" si="4"/>
        <v>140.69475068513387</v>
      </c>
    </row>
    <row r="29" spans="1:15" x14ac:dyDescent="0.3">
      <c r="A29" t="s">
        <v>21</v>
      </c>
      <c r="B29">
        <v>32</v>
      </c>
      <c r="C29">
        <v>3</v>
      </c>
      <c r="D29">
        <v>5000</v>
      </c>
      <c r="E29">
        <v>64</v>
      </c>
      <c r="F29">
        <v>0.2</v>
      </c>
      <c r="G29" s="2">
        <v>0.19889502762430941</v>
      </c>
      <c r="H29" s="2">
        <v>0.19944023769474359</v>
      </c>
      <c r="I29" s="2">
        <v>0.19889502762430941</v>
      </c>
      <c r="J29" s="2">
        <v>0.19914418081799351</v>
      </c>
      <c r="K29">
        <f t="shared" si="5"/>
        <v>-4.9056603773584762</v>
      </c>
      <c r="L29">
        <f t="shared" si="4"/>
        <v>355.90490527412919</v>
      </c>
      <c r="M29">
        <f t="shared" si="4"/>
        <v>-4.9056603773584762</v>
      </c>
      <c r="N29">
        <f t="shared" si="4"/>
        <v>175.22080264270659</v>
      </c>
    </row>
    <row r="30" spans="1:15" x14ac:dyDescent="0.3">
      <c r="A30" t="s">
        <v>21</v>
      </c>
      <c r="B30">
        <v>64</v>
      </c>
      <c r="C30">
        <v>1</v>
      </c>
      <c r="D30">
        <v>5000</v>
      </c>
      <c r="E30">
        <v>64</v>
      </c>
      <c r="F30">
        <v>0.2</v>
      </c>
      <c r="G30" s="2">
        <v>0.19889502762430941</v>
      </c>
      <c r="H30" s="2">
        <v>0.1988795120380274</v>
      </c>
      <c r="I30" s="2">
        <v>0.19889502762430941</v>
      </c>
      <c r="J30" s="2">
        <v>0.1985755117115465</v>
      </c>
      <c r="K30">
        <f t="shared" si="5"/>
        <v>-4.9056603773584762</v>
      </c>
      <c r="L30">
        <f t="shared" si="4"/>
        <v>354.6231299394986</v>
      </c>
      <c r="M30">
        <f t="shared" si="4"/>
        <v>-4.9056603773584762</v>
      </c>
      <c r="N30">
        <f t="shared" si="4"/>
        <v>174.43489181532723</v>
      </c>
    </row>
    <row r="31" spans="1:15" x14ac:dyDescent="0.3">
      <c r="A31" t="s">
        <v>21</v>
      </c>
      <c r="B31">
        <v>64</v>
      </c>
      <c r="C31">
        <v>2</v>
      </c>
      <c r="D31">
        <v>5000</v>
      </c>
      <c r="E31">
        <v>64</v>
      </c>
      <c r="F31">
        <v>0.2</v>
      </c>
      <c r="G31" s="2">
        <v>0.19731649565903711</v>
      </c>
      <c r="H31" s="2">
        <v>0.19649896001024059</v>
      </c>
      <c r="I31" s="2">
        <v>0.19731649565903711</v>
      </c>
      <c r="J31" s="2">
        <v>0.19654502524357359</v>
      </c>
      <c r="K31">
        <f t="shared" si="5"/>
        <v>-5.6603773584905541</v>
      </c>
      <c r="L31">
        <f t="shared" si="4"/>
        <v>349.18137275312074</v>
      </c>
      <c r="M31">
        <f t="shared" si="4"/>
        <v>-5.6603773584905541</v>
      </c>
      <c r="N31">
        <f t="shared" si="4"/>
        <v>171.62872337407407</v>
      </c>
    </row>
    <row r="32" spans="1:15" x14ac:dyDescent="0.3">
      <c r="A32" t="s">
        <v>21</v>
      </c>
      <c r="B32">
        <v>64</v>
      </c>
      <c r="C32">
        <v>3</v>
      </c>
      <c r="D32">
        <v>5000</v>
      </c>
      <c r="E32">
        <v>64</v>
      </c>
      <c r="F32">
        <v>0.2</v>
      </c>
      <c r="G32" s="2">
        <v>0.18626677190213101</v>
      </c>
      <c r="H32" s="2">
        <v>0.1846745538245885</v>
      </c>
      <c r="I32" s="2">
        <v>0.18626677190213101</v>
      </c>
      <c r="J32" s="2">
        <v>0.18287414736532531</v>
      </c>
      <c r="K32">
        <f t="shared" si="5"/>
        <v>-10.943396226415095</v>
      </c>
      <c r="L32">
        <f t="shared" si="4"/>
        <v>322.15169787756474</v>
      </c>
      <c r="M32">
        <f t="shared" si="4"/>
        <v>-10.943396226415095</v>
      </c>
      <c r="N32">
        <f t="shared" si="4"/>
        <v>152.73532680568209</v>
      </c>
    </row>
    <row r="33" spans="1:14" x14ac:dyDescent="0.3">
      <c r="A33" t="s">
        <v>21</v>
      </c>
      <c r="B33">
        <v>32</v>
      </c>
      <c r="C33">
        <v>1</v>
      </c>
      <c r="D33">
        <v>5000</v>
      </c>
      <c r="E33">
        <v>32</v>
      </c>
      <c r="F33">
        <v>0.5</v>
      </c>
      <c r="G33" s="2">
        <v>0.18232044198895031</v>
      </c>
      <c r="H33" s="2">
        <v>0.1789511133360587</v>
      </c>
      <c r="I33" s="2">
        <v>0.18232044198895031</v>
      </c>
      <c r="J33" s="2">
        <v>0.17969215349745299</v>
      </c>
      <c r="K33">
        <f t="shared" si="5"/>
        <v>-12.830188679245261</v>
      </c>
      <c r="L33">
        <f t="shared" si="4"/>
        <v>309.06835710377834</v>
      </c>
      <c r="M33">
        <f t="shared" si="4"/>
        <v>-12.830188679245261</v>
      </c>
      <c r="N33">
        <f>100*(J33-J$20)/J$20</f>
        <v>148.33775464101828</v>
      </c>
    </row>
    <row r="34" spans="1:14" x14ac:dyDescent="0.3">
      <c r="A34" t="s">
        <v>21</v>
      </c>
      <c r="B34">
        <v>32</v>
      </c>
      <c r="C34">
        <v>2</v>
      </c>
      <c r="D34">
        <v>5000</v>
      </c>
      <c r="E34">
        <v>32</v>
      </c>
      <c r="F34">
        <v>0.5</v>
      </c>
      <c r="G34" s="2">
        <v>0.18310970797158641</v>
      </c>
      <c r="H34" s="2">
        <v>0.18216658840919539</v>
      </c>
      <c r="I34" s="2">
        <v>0.18310970797158641</v>
      </c>
      <c r="J34" s="2">
        <v>0.18160748969987309</v>
      </c>
      <c r="K34">
        <f t="shared" si="5"/>
        <v>-12.452830188679249</v>
      </c>
      <c r="L34">
        <f t="shared" si="4"/>
        <v>316.41868357537749</v>
      </c>
      <c r="M34">
        <f t="shared" si="4"/>
        <v>-12.452830188679249</v>
      </c>
      <c r="N34">
        <f t="shared" si="4"/>
        <v>150.98478336561087</v>
      </c>
    </row>
    <row r="35" spans="1:14" x14ac:dyDescent="0.3">
      <c r="A35" t="s">
        <v>21</v>
      </c>
      <c r="B35">
        <v>32</v>
      </c>
      <c r="C35">
        <v>3</v>
      </c>
      <c r="D35">
        <v>5000</v>
      </c>
      <c r="E35">
        <v>32</v>
      </c>
      <c r="F35">
        <v>0.5</v>
      </c>
      <c r="G35" s="2">
        <v>0.19021310181531181</v>
      </c>
      <c r="H35" s="2">
        <v>0.18899184580693729</v>
      </c>
      <c r="I35" s="2">
        <v>0.19021310181531181</v>
      </c>
      <c r="J35" s="2">
        <v>0.18879927542515901</v>
      </c>
      <c r="K35">
        <f t="shared" si="5"/>
        <v>-9.0566037735848752</v>
      </c>
      <c r="L35">
        <f t="shared" si="4"/>
        <v>332.02069229415804</v>
      </c>
      <c r="M35">
        <f t="shared" si="4"/>
        <v>-9.0566037735848752</v>
      </c>
      <c r="N35">
        <f t="shared" si="4"/>
        <v>160.92395925122986</v>
      </c>
    </row>
    <row r="36" spans="1:14" x14ac:dyDescent="0.3">
      <c r="A36" t="s">
        <v>21</v>
      </c>
      <c r="B36">
        <v>64</v>
      </c>
      <c r="C36">
        <v>1</v>
      </c>
      <c r="D36">
        <v>5000</v>
      </c>
      <c r="E36">
        <v>32</v>
      </c>
      <c r="F36">
        <v>0.5</v>
      </c>
      <c r="G36" s="2">
        <v>0.17205998421468041</v>
      </c>
      <c r="H36" s="2">
        <v>0.16611137697421691</v>
      </c>
      <c r="I36" s="2">
        <v>0.17205998421468041</v>
      </c>
      <c r="J36" s="2">
        <v>0.16765016746725159</v>
      </c>
      <c r="K36">
        <f t="shared" si="5"/>
        <v>-17.73584905660374</v>
      </c>
      <c r="L36">
        <f t="shared" si="5"/>
        <v>279.71771624288169</v>
      </c>
      <c r="M36">
        <f t="shared" si="5"/>
        <v>-17.73584905660374</v>
      </c>
      <c r="N36">
        <f t="shared" si="5"/>
        <v>131.69551560078597</v>
      </c>
    </row>
    <row r="37" spans="1:14" x14ac:dyDescent="0.3">
      <c r="A37" t="s">
        <v>21</v>
      </c>
      <c r="B37">
        <v>64</v>
      </c>
      <c r="C37">
        <v>2</v>
      </c>
      <c r="D37">
        <v>5000</v>
      </c>
      <c r="E37">
        <v>32</v>
      </c>
      <c r="F37">
        <v>0.5</v>
      </c>
      <c r="G37" s="2">
        <v>0.18626677190213101</v>
      </c>
      <c r="H37" s="2">
        <v>0.18754977416615151</v>
      </c>
      <c r="I37" s="2">
        <v>0.18626677190213101</v>
      </c>
      <c r="J37" s="2">
        <v>0.18395063478234619</v>
      </c>
      <c r="K37">
        <f t="shared" si="5"/>
        <v>-10.943396226415095</v>
      </c>
      <c r="L37">
        <f t="shared" si="5"/>
        <v>328.72422843917008</v>
      </c>
      <c r="M37">
        <f t="shared" si="5"/>
        <v>-10.943396226415095</v>
      </c>
      <c r="N37">
        <f t="shared" si="5"/>
        <v>154.22305157740433</v>
      </c>
    </row>
    <row r="38" spans="1:14" x14ac:dyDescent="0.3">
      <c r="A38" t="s">
        <v>21</v>
      </c>
      <c r="B38">
        <v>64</v>
      </c>
      <c r="C38">
        <v>3</v>
      </c>
      <c r="D38">
        <v>5000</v>
      </c>
      <c r="E38">
        <v>32</v>
      </c>
      <c r="F38">
        <v>0.5</v>
      </c>
      <c r="G38" s="2">
        <v>0.18942383583267561</v>
      </c>
      <c r="H38" s="2">
        <v>0.18545373706159629</v>
      </c>
      <c r="I38" s="2">
        <v>0.18942383583267561</v>
      </c>
      <c r="J38" s="2">
        <v>0.18525898129226681</v>
      </c>
      <c r="K38">
        <f t="shared" si="5"/>
        <v>-9.4339622641509404</v>
      </c>
      <c r="L38">
        <f t="shared" si="5"/>
        <v>323.93285028675371</v>
      </c>
      <c r="M38">
        <f t="shared" si="5"/>
        <v>-9.4339622641509404</v>
      </c>
      <c r="N38">
        <f t="shared" si="5"/>
        <v>156.03120974258934</v>
      </c>
    </row>
    <row r="39" spans="1:14" x14ac:dyDescent="0.3">
      <c r="A39" t="s">
        <v>21</v>
      </c>
      <c r="B39">
        <v>32</v>
      </c>
      <c r="C39">
        <v>1</v>
      </c>
      <c r="D39">
        <v>5000</v>
      </c>
      <c r="E39">
        <v>64</v>
      </c>
      <c r="F39">
        <v>0.5</v>
      </c>
      <c r="G39" s="2">
        <v>0.1767955801104972</v>
      </c>
      <c r="H39" s="2">
        <v>0.17427250685631049</v>
      </c>
      <c r="I39" s="2">
        <v>0.1767955801104972</v>
      </c>
      <c r="J39" s="2">
        <v>0.17473673641923651</v>
      </c>
      <c r="K39">
        <f t="shared" si="5"/>
        <v>-15.471698113207559</v>
      </c>
      <c r="L39">
        <f t="shared" si="5"/>
        <v>298.37342578691323</v>
      </c>
      <c r="M39">
        <f t="shared" si="5"/>
        <v>-15.471698113207559</v>
      </c>
      <c r="N39">
        <f t="shared" si="5"/>
        <v>141.48928003285192</v>
      </c>
    </row>
    <row r="40" spans="1:14" x14ac:dyDescent="0.3">
      <c r="A40" t="s">
        <v>21</v>
      </c>
      <c r="B40">
        <v>32</v>
      </c>
      <c r="C40">
        <v>2</v>
      </c>
      <c r="D40">
        <v>5000</v>
      </c>
      <c r="E40">
        <v>64</v>
      </c>
      <c r="F40">
        <v>0.5</v>
      </c>
      <c r="G40" s="2">
        <v>0.18310970797158641</v>
      </c>
      <c r="H40" s="2">
        <v>0.18125191325737991</v>
      </c>
      <c r="I40" s="2">
        <v>0.18310970797158641</v>
      </c>
      <c r="J40" s="2">
        <v>0.1811418864851512</v>
      </c>
      <c r="K40">
        <f t="shared" si="5"/>
        <v>-12.452830188679249</v>
      </c>
      <c r="L40">
        <f t="shared" si="5"/>
        <v>314.32780716415255</v>
      </c>
      <c r="M40">
        <f t="shared" si="5"/>
        <v>-12.452830188679249</v>
      </c>
      <c r="N40">
        <f t="shared" si="5"/>
        <v>150.34131143516115</v>
      </c>
    </row>
    <row r="41" spans="1:14" x14ac:dyDescent="0.3">
      <c r="A41" t="s">
        <v>21</v>
      </c>
      <c r="B41">
        <v>32</v>
      </c>
      <c r="C41">
        <v>3</v>
      </c>
      <c r="D41">
        <v>5000</v>
      </c>
      <c r="E41">
        <v>64</v>
      </c>
      <c r="F41">
        <v>0.5</v>
      </c>
      <c r="G41" s="2">
        <v>0.18074191002367801</v>
      </c>
      <c r="H41" s="2">
        <v>0.1821143671978111</v>
      </c>
      <c r="I41" s="2">
        <v>0.18074191002367801</v>
      </c>
      <c r="J41" s="2">
        <v>0.17932824237406969</v>
      </c>
      <c r="K41">
        <f t="shared" si="5"/>
        <v>-13.584905660377339</v>
      </c>
      <c r="L41">
        <f t="shared" si="5"/>
        <v>316.29930993892049</v>
      </c>
      <c r="M41">
        <f t="shared" si="5"/>
        <v>-13.584905660377339</v>
      </c>
      <c r="N41">
        <f t="shared" si="5"/>
        <v>147.83482299091045</v>
      </c>
    </row>
    <row r="42" spans="1:14" x14ac:dyDescent="0.3">
      <c r="A42" t="s">
        <v>21</v>
      </c>
      <c r="B42">
        <v>64</v>
      </c>
      <c r="C42">
        <v>1</v>
      </c>
      <c r="D42">
        <v>5000</v>
      </c>
      <c r="E42">
        <v>64</v>
      </c>
      <c r="F42">
        <v>0.5</v>
      </c>
      <c r="G42" s="2">
        <v>0.18626677190213101</v>
      </c>
      <c r="H42" s="2">
        <v>0.18444284319425391</v>
      </c>
      <c r="I42" s="2">
        <v>0.18626677190213101</v>
      </c>
      <c r="J42" s="2">
        <v>0.18266914432046549</v>
      </c>
      <c r="K42">
        <f t="shared" si="5"/>
        <v>-10.943396226415095</v>
      </c>
      <c r="L42">
        <f t="shared" si="5"/>
        <v>321.62202535914651</v>
      </c>
      <c r="M42">
        <f t="shared" si="5"/>
        <v>-10.943396226415095</v>
      </c>
      <c r="N42">
        <f t="shared" si="5"/>
        <v>152.45200894864624</v>
      </c>
    </row>
    <row r="43" spans="1:14" x14ac:dyDescent="0.3">
      <c r="A43" t="s">
        <v>21</v>
      </c>
      <c r="B43">
        <v>64</v>
      </c>
      <c r="C43">
        <v>2</v>
      </c>
      <c r="D43">
        <v>5000</v>
      </c>
      <c r="E43">
        <v>64</v>
      </c>
      <c r="F43">
        <v>0.5</v>
      </c>
      <c r="G43" s="2">
        <v>0.21073401736385161</v>
      </c>
      <c r="H43" s="2">
        <v>0.2027148887284333</v>
      </c>
      <c r="I43" s="2">
        <v>0.21073401736385161</v>
      </c>
      <c r="J43" s="2">
        <v>0.20374882547009429</v>
      </c>
      <c r="K43">
        <f t="shared" si="5"/>
        <v>0.75471698113207741</v>
      </c>
      <c r="L43">
        <f t="shared" si="5"/>
        <v>363.39050339904293</v>
      </c>
      <c r="M43">
        <f t="shared" si="5"/>
        <v>0.75471698113207741</v>
      </c>
      <c r="N43">
        <f t="shared" si="5"/>
        <v>181.58450351425682</v>
      </c>
    </row>
    <row r="44" spans="1:14" x14ac:dyDescent="0.3">
      <c r="A44" t="s">
        <v>21</v>
      </c>
      <c r="B44">
        <v>64</v>
      </c>
      <c r="C44">
        <v>3</v>
      </c>
      <c r="D44">
        <v>5000</v>
      </c>
      <c r="E44">
        <v>64</v>
      </c>
      <c r="F44">
        <v>0.5</v>
      </c>
      <c r="G44" s="2">
        <v>0.19337016574585639</v>
      </c>
      <c r="H44" s="2">
        <v>0.19276440721421789</v>
      </c>
      <c r="I44" s="2">
        <v>0.19337016574585639</v>
      </c>
      <c r="J44" s="2">
        <v>0.19244429587759429</v>
      </c>
      <c r="K44">
        <f t="shared" si="5"/>
        <v>-7.5471698113207335</v>
      </c>
      <c r="L44">
        <f t="shared" si="5"/>
        <v>340.64447489142697</v>
      </c>
      <c r="M44">
        <f t="shared" si="5"/>
        <v>-7.5471698113207335</v>
      </c>
      <c r="N44">
        <f t="shared" si="5"/>
        <v>165.96144239759997</v>
      </c>
    </row>
    <row r="45" spans="1:14" x14ac:dyDescent="0.3">
      <c r="A45" t="s">
        <v>21</v>
      </c>
      <c r="B45">
        <v>32</v>
      </c>
      <c r="C45">
        <v>1</v>
      </c>
      <c r="D45">
        <v>5000</v>
      </c>
      <c r="E45">
        <v>32</v>
      </c>
      <c r="F45">
        <v>0.8</v>
      </c>
      <c r="G45" s="2">
        <v>0.20678768745067089</v>
      </c>
      <c r="H45" s="2">
        <v>0.19779482658207109</v>
      </c>
      <c r="I45" s="2">
        <v>0.20678768745067089</v>
      </c>
      <c r="J45" s="2">
        <v>0.20102185027103461</v>
      </c>
      <c r="K45">
        <f t="shared" si="5"/>
        <v>-1.1320754716981027</v>
      </c>
      <c r="L45">
        <f t="shared" si="5"/>
        <v>352.14362316711464</v>
      </c>
      <c r="M45">
        <f t="shared" si="5"/>
        <v>-1.1320754716981027</v>
      </c>
      <c r="N45">
        <f t="shared" si="5"/>
        <v>177.81577524919197</v>
      </c>
    </row>
    <row r="46" spans="1:14" x14ac:dyDescent="0.3">
      <c r="A46" t="s">
        <v>21</v>
      </c>
      <c r="B46">
        <v>32</v>
      </c>
      <c r="C46">
        <v>2</v>
      </c>
      <c r="D46">
        <v>5000</v>
      </c>
      <c r="E46">
        <v>32</v>
      </c>
      <c r="F46">
        <v>0.8</v>
      </c>
      <c r="G46" s="2">
        <v>0.21231254932912391</v>
      </c>
      <c r="H46" s="2">
        <v>0.20567440947957011</v>
      </c>
      <c r="I46" s="2">
        <v>0.21231254932912391</v>
      </c>
      <c r="J46" s="2">
        <v>0.2053649177745567</v>
      </c>
      <c r="K46">
        <f t="shared" si="5"/>
        <v>1.5094339622641548</v>
      </c>
      <c r="L46">
        <f t="shared" si="5"/>
        <v>370.15573815457395</v>
      </c>
      <c r="M46">
        <f t="shared" si="5"/>
        <v>1.5094339622641548</v>
      </c>
      <c r="N46">
        <f t="shared" si="5"/>
        <v>183.81797184535185</v>
      </c>
    </row>
    <row r="47" spans="1:14" x14ac:dyDescent="0.3">
      <c r="A47" t="s">
        <v>21</v>
      </c>
      <c r="B47">
        <v>32</v>
      </c>
      <c r="C47">
        <v>3</v>
      </c>
      <c r="D47">
        <v>5000</v>
      </c>
      <c r="E47">
        <v>32</v>
      </c>
      <c r="F47">
        <v>0.8</v>
      </c>
      <c r="G47" s="2">
        <v>0.19889502762430941</v>
      </c>
      <c r="H47" s="2">
        <v>0.1970366944744312</v>
      </c>
      <c r="I47" s="2">
        <v>0.19889502762430941</v>
      </c>
      <c r="J47" s="2">
        <v>0.19611696700173581</v>
      </c>
      <c r="K47">
        <f t="shared" si="5"/>
        <v>-4.9056603773584762</v>
      </c>
      <c r="L47">
        <f t="shared" si="5"/>
        <v>350.41059200593116</v>
      </c>
      <c r="M47">
        <f t="shared" si="5"/>
        <v>-4.9056603773584762</v>
      </c>
      <c r="N47">
        <f t="shared" si="5"/>
        <v>171.03713926444806</v>
      </c>
    </row>
    <row r="48" spans="1:14" x14ac:dyDescent="0.3">
      <c r="A48" t="s">
        <v>21</v>
      </c>
      <c r="B48">
        <v>64</v>
      </c>
      <c r="C48">
        <v>1</v>
      </c>
      <c r="D48">
        <v>5000</v>
      </c>
      <c r="E48">
        <v>32</v>
      </c>
      <c r="F48">
        <v>0.8</v>
      </c>
      <c r="G48" s="2">
        <v>0.17916337805840571</v>
      </c>
      <c r="H48" s="2">
        <v>0.17513216965911671</v>
      </c>
      <c r="I48" s="2">
        <v>0.17916337805840571</v>
      </c>
      <c r="J48" s="2">
        <v>0.1746228884020008</v>
      </c>
      <c r="K48">
        <f t="shared" si="5"/>
        <v>-14.339622641509418</v>
      </c>
      <c r="L48">
        <f t="shared" si="5"/>
        <v>300.33854823768422</v>
      </c>
      <c r="M48">
        <f t="shared" si="5"/>
        <v>-14.339622641509418</v>
      </c>
      <c r="N48">
        <f t="shared" si="5"/>
        <v>141.33194004654555</v>
      </c>
    </row>
    <row r="49" spans="1:15" x14ac:dyDescent="0.3">
      <c r="A49" t="s">
        <v>21</v>
      </c>
      <c r="B49">
        <v>64</v>
      </c>
      <c r="C49">
        <v>2</v>
      </c>
      <c r="D49">
        <v>5000</v>
      </c>
      <c r="E49">
        <v>32</v>
      </c>
      <c r="F49">
        <v>0.8</v>
      </c>
      <c r="G49" s="2">
        <v>0.19968429360694551</v>
      </c>
      <c r="H49" s="2">
        <v>0.19940532011616269</v>
      </c>
      <c r="I49" s="2">
        <v>0.19968429360694551</v>
      </c>
      <c r="J49" s="2">
        <v>0.19838282647798031</v>
      </c>
      <c r="K49">
        <f t="shared" si="5"/>
        <v>-4.5283018867924643</v>
      </c>
      <c r="L49">
        <f t="shared" si="5"/>
        <v>355.82508639936577</v>
      </c>
      <c r="M49">
        <f t="shared" si="5"/>
        <v>-4.5283018867924643</v>
      </c>
      <c r="N49">
        <f t="shared" si="5"/>
        <v>174.16859739275529</v>
      </c>
    </row>
    <row r="50" spans="1:15" x14ac:dyDescent="0.3">
      <c r="A50" t="s">
        <v>21</v>
      </c>
      <c r="B50">
        <v>64</v>
      </c>
      <c r="C50">
        <v>3</v>
      </c>
      <c r="D50">
        <v>5000</v>
      </c>
      <c r="E50">
        <v>32</v>
      </c>
      <c r="F50">
        <v>0.8</v>
      </c>
      <c r="G50" s="2">
        <v>0.17758484609313341</v>
      </c>
      <c r="H50" s="2">
        <v>0.17856489071636911</v>
      </c>
      <c r="I50" s="2">
        <v>0.17758484609313341</v>
      </c>
      <c r="J50" s="2">
        <v>0.17798876732008151</v>
      </c>
      <c r="K50">
        <f t="shared" si="5"/>
        <v>-15.094339622641494</v>
      </c>
      <c r="L50">
        <f t="shared" si="5"/>
        <v>308.18548216901303</v>
      </c>
      <c r="M50">
        <f t="shared" si="5"/>
        <v>-15.094339622641494</v>
      </c>
      <c r="N50">
        <f t="shared" si="5"/>
        <v>145.9836446237382</v>
      </c>
    </row>
    <row r="51" spans="1:15" x14ac:dyDescent="0.3">
      <c r="A51" t="s">
        <v>21</v>
      </c>
      <c r="B51">
        <v>32</v>
      </c>
      <c r="C51">
        <v>1</v>
      </c>
      <c r="D51">
        <v>5000</v>
      </c>
      <c r="E51">
        <v>64</v>
      </c>
      <c r="F51">
        <v>0.8</v>
      </c>
      <c r="G51" s="2">
        <v>0.19100236779794791</v>
      </c>
      <c r="H51" s="2">
        <v>0.18706585330414091</v>
      </c>
      <c r="I51" s="2">
        <v>0.19100236779794791</v>
      </c>
      <c r="J51" s="2">
        <v>0.18842730362940019</v>
      </c>
      <c r="K51">
        <f t="shared" si="5"/>
        <v>-8.6792452830188633</v>
      </c>
      <c r="L51">
        <f t="shared" si="5"/>
        <v>327.61802290459389</v>
      </c>
      <c r="M51">
        <f t="shared" si="5"/>
        <v>-8.6792452830188633</v>
      </c>
      <c r="N51">
        <f t="shared" si="5"/>
        <v>160.40988760841969</v>
      </c>
    </row>
    <row r="52" spans="1:15" x14ac:dyDescent="0.3">
      <c r="A52" t="s">
        <v>21</v>
      </c>
      <c r="B52">
        <v>32</v>
      </c>
      <c r="C52">
        <v>2</v>
      </c>
      <c r="D52">
        <v>5000</v>
      </c>
      <c r="E52">
        <v>64</v>
      </c>
      <c r="F52">
        <v>0.8</v>
      </c>
      <c r="G52" s="2">
        <v>0.18626677190213101</v>
      </c>
      <c r="H52" s="2">
        <v>0.18246963324923171</v>
      </c>
      <c r="I52" s="2">
        <v>0.18626677190213101</v>
      </c>
      <c r="J52" s="2">
        <v>0.1835252935276315</v>
      </c>
      <c r="K52">
        <f t="shared" si="5"/>
        <v>-10.943396226415095</v>
      </c>
      <c r="L52">
        <f t="shared" si="5"/>
        <v>317.1114205610906</v>
      </c>
      <c r="M52">
        <f t="shared" si="5"/>
        <v>-10.943396226415095</v>
      </c>
      <c r="N52">
        <f t="shared" si="5"/>
        <v>153.63522239234459</v>
      </c>
    </row>
    <row r="53" spans="1:15" x14ac:dyDescent="0.3">
      <c r="A53" t="s">
        <v>21</v>
      </c>
      <c r="B53">
        <v>32</v>
      </c>
      <c r="C53">
        <v>3</v>
      </c>
      <c r="D53">
        <v>5000</v>
      </c>
      <c r="E53">
        <v>64</v>
      </c>
      <c r="F53">
        <v>0.8</v>
      </c>
      <c r="G53" s="2">
        <v>0.21310181531176009</v>
      </c>
      <c r="H53" s="2">
        <v>0.21108226020687751</v>
      </c>
      <c r="I53" s="2">
        <v>0.21310181531176009</v>
      </c>
      <c r="J53" s="2">
        <v>0.20907504566253579</v>
      </c>
      <c r="K53">
        <f t="shared" si="5"/>
        <v>1.8867924528302067</v>
      </c>
      <c r="L53">
        <f t="shared" si="5"/>
        <v>382.51766522639821</v>
      </c>
      <c r="M53">
        <f t="shared" si="5"/>
        <v>1.8867924528302067</v>
      </c>
      <c r="N53">
        <f t="shared" si="5"/>
        <v>188.94543462655116</v>
      </c>
    </row>
    <row r="54" spans="1:15" x14ac:dyDescent="0.3">
      <c r="A54" t="s">
        <v>21</v>
      </c>
      <c r="B54">
        <v>64</v>
      </c>
      <c r="C54">
        <v>1</v>
      </c>
      <c r="D54">
        <v>5000</v>
      </c>
      <c r="E54">
        <v>64</v>
      </c>
      <c r="F54">
        <v>0.8</v>
      </c>
      <c r="G54" s="2">
        <v>0.16732438831886351</v>
      </c>
      <c r="H54" s="2">
        <v>0.16568850875552091</v>
      </c>
      <c r="I54" s="2">
        <v>0.16732438831886351</v>
      </c>
      <c r="J54" s="2">
        <v>0.16566471885849929</v>
      </c>
      <c r="K54">
        <f t="shared" si="5"/>
        <v>-19.999999999999972</v>
      </c>
      <c r="L54">
        <f t="shared" si="5"/>
        <v>278.75107231276803</v>
      </c>
      <c r="M54">
        <f t="shared" si="5"/>
        <v>-19.999999999999972</v>
      </c>
      <c r="N54">
        <f t="shared" si="5"/>
        <v>128.95159028264641</v>
      </c>
    </row>
    <row r="55" spans="1:15" x14ac:dyDescent="0.3">
      <c r="A55" t="s">
        <v>21</v>
      </c>
      <c r="B55">
        <v>64</v>
      </c>
      <c r="C55">
        <v>2</v>
      </c>
      <c r="D55">
        <v>5000</v>
      </c>
      <c r="E55">
        <v>64</v>
      </c>
      <c r="F55">
        <v>0.8</v>
      </c>
      <c r="G55" s="2">
        <v>0.19573796369376481</v>
      </c>
      <c r="H55" s="2">
        <v>0.1954690909494527</v>
      </c>
      <c r="I55" s="2">
        <v>0.19573796369376481</v>
      </c>
      <c r="J55" s="2">
        <v>0.19533937771160001</v>
      </c>
      <c r="K55">
        <f t="shared" si="5"/>
        <v>-6.4150943396226303</v>
      </c>
      <c r="L55">
        <f t="shared" si="5"/>
        <v>346.82717200591799</v>
      </c>
      <c r="M55">
        <f t="shared" si="5"/>
        <v>-6.4150943396226303</v>
      </c>
      <c r="N55">
        <f t="shared" si="5"/>
        <v>169.96249702444638</v>
      </c>
    </row>
    <row r="56" spans="1:15" x14ac:dyDescent="0.3">
      <c r="A56" t="s">
        <v>21</v>
      </c>
      <c r="B56">
        <v>64</v>
      </c>
      <c r="C56">
        <v>3</v>
      </c>
      <c r="D56">
        <v>5000</v>
      </c>
      <c r="E56">
        <v>64</v>
      </c>
      <c r="F56">
        <v>0.8</v>
      </c>
      <c r="G56" s="2">
        <v>0.19968429360694551</v>
      </c>
      <c r="H56" s="2">
        <v>0.1955490757258001</v>
      </c>
      <c r="I56" s="2">
        <v>0.19968429360694551</v>
      </c>
      <c r="J56" s="2">
        <v>0.1965196406330047</v>
      </c>
      <c r="K56">
        <f t="shared" si="5"/>
        <v>-4.5283018867924643</v>
      </c>
      <c r="L56">
        <f t="shared" si="5"/>
        <v>347.01001099721447</v>
      </c>
      <c r="M56">
        <f t="shared" si="5"/>
        <v>-4.5283018867924643</v>
      </c>
      <c r="N56">
        <f t="shared" si="5"/>
        <v>171.59364139042364</v>
      </c>
    </row>
    <row r="57" spans="1:15" x14ac:dyDescent="0.3">
      <c r="A57" t="s">
        <v>21</v>
      </c>
      <c r="G57" s="2"/>
      <c r="H57" s="2"/>
      <c r="I57" s="2"/>
      <c r="J57" s="2"/>
    </row>
    <row r="58" spans="1:15" x14ac:dyDescent="0.3">
      <c r="A58" t="s">
        <v>21</v>
      </c>
      <c r="G58" s="2"/>
      <c r="H58" s="2"/>
      <c r="I58" s="2"/>
      <c r="J58" s="2"/>
    </row>
    <row r="59" spans="1:15" x14ac:dyDescent="0.3">
      <c r="A59" t="s">
        <v>21</v>
      </c>
      <c r="G59" s="2"/>
      <c r="H59" s="2"/>
      <c r="I59" s="2"/>
      <c r="J59" s="2"/>
    </row>
    <row r="60" spans="1:15" x14ac:dyDescent="0.3">
      <c r="A60" t="s">
        <v>21</v>
      </c>
      <c r="B60">
        <v>32</v>
      </c>
      <c r="C60">
        <v>1</v>
      </c>
      <c r="D60">
        <v>5000</v>
      </c>
      <c r="E60">
        <v>32</v>
      </c>
      <c r="F60">
        <v>0.2</v>
      </c>
      <c r="G60" s="2">
        <v>0.17758484609313341</v>
      </c>
      <c r="H60" s="2">
        <v>0.17600262463851971</v>
      </c>
      <c r="I60" s="2">
        <v>0.17758484609313341</v>
      </c>
      <c r="J60" s="2">
        <v>0.17615755147589809</v>
      </c>
      <c r="K60">
        <f t="shared" ref="K60:N95" si="6">100*(G60-G$20)/G$20</f>
        <v>-15.094339622641494</v>
      </c>
      <c r="L60">
        <f t="shared" si="6"/>
        <v>302.32834076659969</v>
      </c>
      <c r="M60">
        <f t="shared" si="6"/>
        <v>-15.094339622641494</v>
      </c>
      <c r="N60">
        <f t="shared" si="6"/>
        <v>143.45287173156507</v>
      </c>
      <c r="O60" t="s">
        <v>13</v>
      </c>
    </row>
    <row r="61" spans="1:15" x14ac:dyDescent="0.3">
      <c r="A61" t="s">
        <v>21</v>
      </c>
      <c r="B61">
        <v>32</v>
      </c>
      <c r="C61">
        <v>2</v>
      </c>
      <c r="D61">
        <v>5000</v>
      </c>
      <c r="E61">
        <v>32</v>
      </c>
      <c r="F61">
        <v>0.2</v>
      </c>
      <c r="G61" s="2">
        <v>0.20441988950276241</v>
      </c>
      <c r="H61" s="2">
        <v>0.19787788719214969</v>
      </c>
      <c r="I61" s="2">
        <v>0.20441988950276241</v>
      </c>
      <c r="J61" s="2">
        <v>0.19804508697778139</v>
      </c>
      <c r="K61">
        <f t="shared" si="6"/>
        <v>-2.2641509433962321</v>
      </c>
      <c r="L61">
        <f t="shared" si="6"/>
        <v>352.33349327561234</v>
      </c>
      <c r="M61">
        <f t="shared" si="6"/>
        <v>-2.2641509433962321</v>
      </c>
      <c r="N61">
        <f t="shared" si="6"/>
        <v>173.70183539174135</v>
      </c>
    </row>
    <row r="62" spans="1:15" x14ac:dyDescent="0.3">
      <c r="A62" t="s">
        <v>21</v>
      </c>
      <c r="B62">
        <v>32</v>
      </c>
      <c r="C62">
        <v>3</v>
      </c>
      <c r="D62">
        <v>5000</v>
      </c>
      <c r="E62">
        <v>32</v>
      </c>
      <c r="F62">
        <v>0.2</v>
      </c>
      <c r="G62" s="2">
        <v>0.20126282557221781</v>
      </c>
      <c r="H62" s="2">
        <v>0.19167683382660769</v>
      </c>
      <c r="I62" s="2">
        <v>0.20126282557221781</v>
      </c>
      <c r="J62" s="2">
        <v>0.19387664035691321</v>
      </c>
      <c r="K62">
        <f t="shared" si="6"/>
        <v>-3.7735849056603867</v>
      </c>
      <c r="L62">
        <f t="shared" si="6"/>
        <v>338.15836653140792</v>
      </c>
      <c r="M62">
        <f t="shared" si="6"/>
        <v>-3.7735849056603867</v>
      </c>
      <c r="N62">
        <f t="shared" si="6"/>
        <v>167.94096796364846</v>
      </c>
    </row>
    <row r="63" spans="1:15" x14ac:dyDescent="0.3">
      <c r="A63" t="s">
        <v>21</v>
      </c>
      <c r="B63">
        <v>64</v>
      </c>
      <c r="C63">
        <v>1</v>
      </c>
      <c r="D63">
        <v>5000</v>
      </c>
      <c r="E63">
        <v>32</v>
      </c>
      <c r="F63">
        <v>0.2</v>
      </c>
      <c r="G63" s="2">
        <v>0.18547750591949491</v>
      </c>
      <c r="H63" s="2">
        <v>0.18228365940023711</v>
      </c>
      <c r="I63" s="2">
        <v>0.18547750591949491</v>
      </c>
      <c r="J63" s="2">
        <v>0.18253929732593871</v>
      </c>
      <c r="K63">
        <f t="shared" si="6"/>
        <v>-11.320754716981108</v>
      </c>
      <c r="L63">
        <f t="shared" si="6"/>
        <v>316.68629877528969</v>
      </c>
      <c r="M63">
        <f t="shared" si="6"/>
        <v>-11.320754716981108</v>
      </c>
      <c r="N63">
        <f t="shared" si="6"/>
        <v>152.27255809094297</v>
      </c>
    </row>
    <row r="64" spans="1:15" x14ac:dyDescent="0.3">
      <c r="A64" t="s">
        <v>21</v>
      </c>
      <c r="B64">
        <v>64</v>
      </c>
      <c r="C64">
        <v>2</v>
      </c>
      <c r="D64">
        <v>5000</v>
      </c>
      <c r="E64">
        <v>32</v>
      </c>
      <c r="F64">
        <v>0.2</v>
      </c>
      <c r="G64" s="2">
        <v>0.19179163378058409</v>
      </c>
      <c r="H64" s="2">
        <v>0.1917094350194023</v>
      </c>
      <c r="I64" s="2">
        <v>0.19179163378058409</v>
      </c>
      <c r="J64" s="2">
        <v>0.19137966151430291</v>
      </c>
      <c r="K64">
        <f t="shared" si="6"/>
        <v>-8.3018867924528124</v>
      </c>
      <c r="L64">
        <f t="shared" si="6"/>
        <v>338.23289032803308</v>
      </c>
      <c r="M64">
        <f t="shared" si="6"/>
        <v>-8.3018867924528124</v>
      </c>
      <c r="N64">
        <f t="shared" si="6"/>
        <v>164.49009875711539</v>
      </c>
    </row>
    <row r="65" spans="1:14" x14ac:dyDescent="0.3">
      <c r="A65" t="s">
        <v>21</v>
      </c>
      <c r="B65">
        <v>64</v>
      </c>
      <c r="C65">
        <v>3</v>
      </c>
      <c r="D65">
        <v>5000</v>
      </c>
      <c r="E65">
        <v>32</v>
      </c>
      <c r="F65">
        <v>0.2</v>
      </c>
      <c r="G65" s="2">
        <v>0.20441988950276241</v>
      </c>
      <c r="H65" s="2">
        <v>0.20449057476361271</v>
      </c>
      <c r="I65" s="2">
        <v>0.20441988950276241</v>
      </c>
      <c r="J65" s="2">
        <v>0.2015146764518328</v>
      </c>
      <c r="K65">
        <f t="shared" si="6"/>
        <v>-2.2641509433962321</v>
      </c>
      <c r="L65">
        <f t="shared" si="6"/>
        <v>367.44958386857246</v>
      </c>
      <c r="M65">
        <f t="shared" si="6"/>
        <v>-2.2641509433962321</v>
      </c>
      <c r="N65">
        <f t="shared" si="6"/>
        <v>178.49686980332598</v>
      </c>
    </row>
    <row r="66" spans="1:14" x14ac:dyDescent="0.3">
      <c r="A66" t="s">
        <v>21</v>
      </c>
      <c r="B66">
        <v>32</v>
      </c>
      <c r="C66">
        <v>1</v>
      </c>
      <c r="D66">
        <v>5000</v>
      </c>
      <c r="E66">
        <v>64</v>
      </c>
      <c r="F66">
        <v>0.2</v>
      </c>
      <c r="G66" s="2">
        <v>0.17916337805840571</v>
      </c>
      <c r="H66" s="2">
        <v>0.1787700175683451</v>
      </c>
      <c r="I66" s="2">
        <v>0.17916337805840571</v>
      </c>
      <c r="J66" s="2">
        <v>0.1772967541756002</v>
      </c>
      <c r="K66">
        <f t="shared" si="6"/>
        <v>-14.339622641509418</v>
      </c>
      <c r="L66">
        <f t="shared" si="6"/>
        <v>308.6543862332091</v>
      </c>
      <c r="M66">
        <f t="shared" si="6"/>
        <v>-14.339622641509418</v>
      </c>
      <c r="N66">
        <f t="shared" si="6"/>
        <v>145.02727014028034</v>
      </c>
    </row>
    <row r="67" spans="1:14" x14ac:dyDescent="0.3">
      <c r="A67" t="s">
        <v>21</v>
      </c>
      <c r="B67">
        <v>32</v>
      </c>
      <c r="C67">
        <v>2</v>
      </c>
      <c r="D67">
        <v>5000</v>
      </c>
      <c r="E67">
        <v>64</v>
      </c>
      <c r="F67">
        <v>0.2</v>
      </c>
      <c r="G67" s="2">
        <v>0.18626677190213101</v>
      </c>
      <c r="H67" s="2">
        <v>0.18629403856003621</v>
      </c>
      <c r="I67" s="2">
        <v>0.18626677190213101</v>
      </c>
      <c r="J67" s="2">
        <v>0.18581842268229651</v>
      </c>
      <c r="K67">
        <f t="shared" si="6"/>
        <v>-10.943396226415095</v>
      </c>
      <c r="L67">
        <f t="shared" si="6"/>
        <v>325.85371429832958</v>
      </c>
      <c r="M67">
        <f t="shared" si="6"/>
        <v>-10.943396226415095</v>
      </c>
      <c r="N67">
        <f t="shared" si="6"/>
        <v>156.80436770162729</v>
      </c>
    </row>
    <row r="68" spans="1:14" x14ac:dyDescent="0.3">
      <c r="A68" t="s">
        <v>21</v>
      </c>
      <c r="B68">
        <v>32</v>
      </c>
      <c r="C68">
        <v>3</v>
      </c>
      <c r="D68">
        <v>5000</v>
      </c>
      <c r="E68">
        <v>64</v>
      </c>
      <c r="F68">
        <v>0.2</v>
      </c>
      <c r="G68" s="2">
        <v>0.20205209155485401</v>
      </c>
      <c r="H68" s="2">
        <v>0.19871895586564151</v>
      </c>
      <c r="I68" s="2">
        <v>0.20205209155485401</v>
      </c>
      <c r="J68" s="2">
        <v>0.20001773491723071</v>
      </c>
      <c r="K68">
        <f t="shared" si="6"/>
        <v>-3.3962264150943215</v>
      </c>
      <c r="L68">
        <f t="shared" si="6"/>
        <v>354.25611098981813</v>
      </c>
      <c r="M68">
        <f t="shared" si="6"/>
        <v>-3.3962264150943215</v>
      </c>
      <c r="N68">
        <f t="shared" si="6"/>
        <v>176.42806995705317</v>
      </c>
    </row>
    <row r="69" spans="1:14" x14ac:dyDescent="0.3">
      <c r="A69" t="s">
        <v>21</v>
      </c>
      <c r="B69">
        <v>64</v>
      </c>
      <c r="C69">
        <v>1</v>
      </c>
      <c r="D69">
        <v>5000</v>
      </c>
      <c r="E69">
        <v>64</v>
      </c>
      <c r="F69">
        <v>0.2</v>
      </c>
      <c r="G69" s="2">
        <v>0.19021310181531181</v>
      </c>
      <c r="H69" s="2">
        <v>0.19132598184173591</v>
      </c>
      <c r="I69" s="2">
        <v>0.19021310181531181</v>
      </c>
      <c r="J69" s="2">
        <v>0.18890750384327551</v>
      </c>
      <c r="K69">
        <f t="shared" si="6"/>
        <v>-9.0566037735848752</v>
      </c>
      <c r="L69">
        <f t="shared" si="6"/>
        <v>337.35634612280296</v>
      </c>
      <c r="M69">
        <f t="shared" si="6"/>
        <v>-9.0566037735848752</v>
      </c>
      <c r="N69">
        <f t="shared" si="6"/>
        <v>161.07353285152502</v>
      </c>
    </row>
    <row r="70" spans="1:14" x14ac:dyDescent="0.3">
      <c r="A70" t="s">
        <v>21</v>
      </c>
      <c r="B70">
        <v>64</v>
      </c>
      <c r="C70">
        <v>2</v>
      </c>
      <c r="D70">
        <v>5000</v>
      </c>
      <c r="E70">
        <v>64</v>
      </c>
      <c r="F70">
        <v>0.2</v>
      </c>
      <c r="G70" s="2">
        <v>0.18232044198895031</v>
      </c>
      <c r="H70" s="2">
        <v>0.17810386580879009</v>
      </c>
      <c r="I70" s="2">
        <v>0.18232044198895031</v>
      </c>
      <c r="J70" s="2">
        <v>0.17876144816558071</v>
      </c>
      <c r="K70">
        <f t="shared" si="6"/>
        <v>-12.830188679245261</v>
      </c>
      <c r="L70">
        <f t="shared" si="6"/>
        <v>307.13161500936536</v>
      </c>
      <c r="M70">
        <f t="shared" si="6"/>
        <v>-12.830188679245261</v>
      </c>
      <c r="N70">
        <f t="shared" si="6"/>
        <v>147.05150330588214</v>
      </c>
    </row>
    <row r="71" spans="1:14" x14ac:dyDescent="0.3">
      <c r="A71" t="s">
        <v>21</v>
      </c>
      <c r="B71">
        <v>64</v>
      </c>
      <c r="C71">
        <v>3</v>
      </c>
      <c r="D71">
        <v>5000</v>
      </c>
      <c r="E71">
        <v>64</v>
      </c>
      <c r="F71">
        <v>0.2</v>
      </c>
      <c r="G71" s="2">
        <v>0.19337016574585639</v>
      </c>
      <c r="H71" s="2">
        <v>0.1903833869813942</v>
      </c>
      <c r="I71" s="2">
        <v>0.19337016574585639</v>
      </c>
      <c r="J71" s="2">
        <v>0.19056540820040269</v>
      </c>
      <c r="K71">
        <f t="shared" si="6"/>
        <v>-7.5471698113207335</v>
      </c>
      <c r="L71">
        <f t="shared" si="6"/>
        <v>335.20164742467114</v>
      </c>
      <c r="M71">
        <f t="shared" si="6"/>
        <v>-7.5471698113207335</v>
      </c>
      <c r="N71">
        <f t="shared" si="6"/>
        <v>163.36478618365427</v>
      </c>
    </row>
    <row r="72" spans="1:14" x14ac:dyDescent="0.3">
      <c r="A72" t="s">
        <v>21</v>
      </c>
      <c r="B72">
        <v>32</v>
      </c>
      <c r="C72">
        <v>1</v>
      </c>
      <c r="D72">
        <v>5000</v>
      </c>
      <c r="E72">
        <v>32</v>
      </c>
      <c r="F72">
        <v>0.5</v>
      </c>
      <c r="G72" s="2">
        <v>0.21231254932912391</v>
      </c>
      <c r="H72" s="2">
        <v>0.2087735538687692</v>
      </c>
      <c r="I72" s="2">
        <v>0.21231254932912391</v>
      </c>
      <c r="J72" s="2">
        <v>0.2090607746691665</v>
      </c>
      <c r="K72">
        <f t="shared" si="6"/>
        <v>1.5094339622641548</v>
      </c>
      <c r="L72">
        <f t="shared" si="6"/>
        <v>377.24014171084741</v>
      </c>
      <c r="M72">
        <f t="shared" si="6"/>
        <v>1.5094339622641548</v>
      </c>
      <c r="N72">
        <f t="shared" si="6"/>
        <v>188.92571185969217</v>
      </c>
    </row>
    <row r="73" spans="1:14" x14ac:dyDescent="0.3">
      <c r="A73" t="s">
        <v>21</v>
      </c>
      <c r="B73">
        <v>32</v>
      </c>
      <c r="C73">
        <v>2</v>
      </c>
      <c r="D73">
        <v>5000</v>
      </c>
      <c r="E73">
        <v>32</v>
      </c>
      <c r="F73">
        <v>0.5</v>
      </c>
      <c r="G73" s="2">
        <v>0.19258089976322021</v>
      </c>
      <c r="H73" s="2">
        <v>0.1897188390501785</v>
      </c>
      <c r="I73" s="2">
        <v>0.19258089976322021</v>
      </c>
      <c r="J73" s="2">
        <v>0.18938088116854199</v>
      </c>
      <c r="K73">
        <f t="shared" si="6"/>
        <v>-7.9245283018867854</v>
      </c>
      <c r="L73">
        <f t="shared" si="6"/>
        <v>333.68254242794154</v>
      </c>
      <c r="M73">
        <f t="shared" si="6"/>
        <v>-7.9245283018867854</v>
      </c>
      <c r="N73">
        <f t="shared" si="6"/>
        <v>161.72774874112596</v>
      </c>
    </row>
    <row r="74" spans="1:14" x14ac:dyDescent="0.3">
      <c r="A74" t="s">
        <v>21</v>
      </c>
      <c r="B74">
        <v>32</v>
      </c>
      <c r="C74">
        <v>3</v>
      </c>
      <c r="D74">
        <v>5000</v>
      </c>
      <c r="E74">
        <v>32</v>
      </c>
      <c r="F74">
        <v>0.5</v>
      </c>
      <c r="G74" s="2">
        <v>0.21783741120757699</v>
      </c>
      <c r="H74" s="2">
        <v>0.2104709936336755</v>
      </c>
      <c r="I74" s="2">
        <v>0.21783741120757699</v>
      </c>
      <c r="J74" s="2">
        <v>0.20894357785361889</v>
      </c>
      <c r="K74">
        <f t="shared" si="6"/>
        <v>4.150943396226439</v>
      </c>
      <c r="L74">
        <f t="shared" si="6"/>
        <v>381.12035727904487</v>
      </c>
      <c r="M74">
        <f t="shared" si="6"/>
        <v>4.150943396226439</v>
      </c>
      <c r="N74">
        <f t="shared" si="6"/>
        <v>188.76374377451037</v>
      </c>
    </row>
    <row r="75" spans="1:14" x14ac:dyDescent="0.3">
      <c r="A75" t="s">
        <v>21</v>
      </c>
      <c r="B75">
        <v>64</v>
      </c>
      <c r="C75">
        <v>1</v>
      </c>
      <c r="D75">
        <v>5000</v>
      </c>
      <c r="E75">
        <v>32</v>
      </c>
      <c r="F75">
        <v>0.5</v>
      </c>
      <c r="G75" s="2">
        <v>0.18942383583267561</v>
      </c>
      <c r="H75" s="2">
        <v>0.18756990698392509</v>
      </c>
      <c r="I75" s="2">
        <v>0.18942383583267561</v>
      </c>
      <c r="J75" s="2">
        <v>0.18823327218657951</v>
      </c>
      <c r="K75">
        <f t="shared" si="6"/>
        <v>-9.4339622641509404</v>
      </c>
      <c r="L75">
        <f t="shared" si="6"/>
        <v>328.77025049813898</v>
      </c>
      <c r="M75">
        <f t="shared" si="6"/>
        <v>-9.4339622641509404</v>
      </c>
      <c r="N75">
        <f t="shared" si="6"/>
        <v>160.14173270069566</v>
      </c>
    </row>
    <row r="76" spans="1:14" x14ac:dyDescent="0.3">
      <c r="A76" t="s">
        <v>21</v>
      </c>
      <c r="B76">
        <v>64</v>
      </c>
      <c r="C76">
        <v>2</v>
      </c>
      <c r="D76">
        <v>5000</v>
      </c>
      <c r="E76">
        <v>32</v>
      </c>
      <c r="F76">
        <v>0.5</v>
      </c>
      <c r="G76" s="2">
        <v>0.20205209155485401</v>
      </c>
      <c r="H76" s="2">
        <v>0.19710233271669331</v>
      </c>
      <c r="I76" s="2">
        <v>0.20205209155485401</v>
      </c>
      <c r="J76" s="2">
        <v>0.19773725338574299</v>
      </c>
      <c r="K76">
        <f t="shared" si="6"/>
        <v>-3.3962264150943215</v>
      </c>
      <c r="L76">
        <f t="shared" si="6"/>
        <v>350.56063593370993</v>
      </c>
      <c r="M76">
        <f t="shared" si="6"/>
        <v>-3.3962264150943215</v>
      </c>
      <c r="N76">
        <f t="shared" si="6"/>
        <v>173.27640388812827</v>
      </c>
    </row>
    <row r="77" spans="1:14" x14ac:dyDescent="0.3">
      <c r="A77" t="s">
        <v>21</v>
      </c>
      <c r="B77">
        <v>64</v>
      </c>
      <c r="C77">
        <v>3</v>
      </c>
      <c r="D77">
        <v>5000</v>
      </c>
      <c r="E77">
        <v>32</v>
      </c>
      <c r="F77">
        <v>0.5</v>
      </c>
      <c r="G77" s="2">
        <v>0.21310181531176009</v>
      </c>
      <c r="H77" s="2">
        <v>0.20951983761921211</v>
      </c>
      <c r="I77" s="2">
        <v>0.21310181531176009</v>
      </c>
      <c r="J77" s="2">
        <v>0.20934794528531669</v>
      </c>
      <c r="K77">
        <f t="shared" si="6"/>
        <v>1.8867924528302067</v>
      </c>
      <c r="L77">
        <f t="shared" si="6"/>
        <v>378.94608844700224</v>
      </c>
      <c r="M77">
        <f t="shared" si="6"/>
        <v>1.8867924528302067</v>
      </c>
      <c r="N77">
        <f t="shared" si="6"/>
        <v>189.32258676282825</v>
      </c>
    </row>
    <row r="78" spans="1:14" x14ac:dyDescent="0.3">
      <c r="A78" t="s">
        <v>21</v>
      </c>
      <c r="B78">
        <v>32</v>
      </c>
      <c r="C78">
        <v>1</v>
      </c>
      <c r="D78">
        <v>5000</v>
      </c>
      <c r="E78">
        <v>64</v>
      </c>
      <c r="F78">
        <v>0.5</v>
      </c>
      <c r="G78" s="2">
        <v>0.20599842146803471</v>
      </c>
      <c r="H78" s="2">
        <v>0.20318311579887419</v>
      </c>
      <c r="I78" s="2">
        <v>0.20599842146803471</v>
      </c>
      <c r="J78" s="2">
        <v>0.20320676935700341</v>
      </c>
      <c r="K78">
        <f t="shared" si="6"/>
        <v>-1.5094339622641548</v>
      </c>
      <c r="L78">
        <f t="shared" si="6"/>
        <v>364.46083414404973</v>
      </c>
      <c r="M78">
        <f t="shared" si="6"/>
        <v>-1.5094339622641548</v>
      </c>
      <c r="N78">
        <f t="shared" si="6"/>
        <v>180.83537231740502</v>
      </c>
    </row>
    <row r="79" spans="1:14" x14ac:dyDescent="0.3">
      <c r="A79" t="s">
        <v>21</v>
      </c>
      <c r="B79">
        <v>32</v>
      </c>
      <c r="C79">
        <v>2</v>
      </c>
      <c r="D79">
        <v>5000</v>
      </c>
      <c r="E79">
        <v>64</v>
      </c>
      <c r="F79">
        <v>0.5</v>
      </c>
      <c r="G79" s="2">
        <v>0.22178374112075769</v>
      </c>
      <c r="H79" s="2">
        <v>0.22192024981437511</v>
      </c>
      <c r="I79" s="2">
        <v>0.22178374112075769</v>
      </c>
      <c r="J79" s="2">
        <v>0.22062723128652889</v>
      </c>
      <c r="K79">
        <f t="shared" si="6"/>
        <v>6.037735849056606</v>
      </c>
      <c r="L79">
        <f t="shared" si="6"/>
        <v>407.29246835780475</v>
      </c>
      <c r="M79">
        <f t="shared" si="6"/>
        <v>6.037735849056606</v>
      </c>
      <c r="N79">
        <f t="shared" si="6"/>
        <v>204.91076078699123</v>
      </c>
    </row>
    <row r="80" spans="1:14" x14ac:dyDescent="0.3">
      <c r="A80" t="s">
        <v>21</v>
      </c>
      <c r="B80">
        <v>32</v>
      </c>
      <c r="C80">
        <v>3</v>
      </c>
      <c r="D80">
        <v>5000</v>
      </c>
      <c r="E80">
        <v>64</v>
      </c>
      <c r="F80">
        <v>0.5</v>
      </c>
      <c r="G80" s="2">
        <v>0.18389897395422261</v>
      </c>
      <c r="H80" s="2">
        <v>0.1801923029909272</v>
      </c>
      <c r="I80" s="2">
        <v>0.18389897395422261</v>
      </c>
      <c r="J80" s="2">
        <v>0.17919286972729509</v>
      </c>
      <c r="K80">
        <f t="shared" si="6"/>
        <v>-12.075471698113185</v>
      </c>
      <c r="L80">
        <f t="shared" si="6"/>
        <v>311.90562032894621</v>
      </c>
      <c r="M80">
        <f t="shared" si="6"/>
        <v>-12.075471698113185</v>
      </c>
      <c r="N80">
        <f t="shared" si="6"/>
        <v>147.64773558344447</v>
      </c>
    </row>
    <row r="81" spans="1:14" x14ac:dyDescent="0.3">
      <c r="A81" t="s">
        <v>21</v>
      </c>
      <c r="B81">
        <v>64</v>
      </c>
      <c r="C81">
        <v>1</v>
      </c>
      <c r="D81">
        <v>5000</v>
      </c>
      <c r="E81">
        <v>64</v>
      </c>
      <c r="F81">
        <v>0.5</v>
      </c>
      <c r="G81" s="2">
        <v>0.18626677190213101</v>
      </c>
      <c r="H81" s="2">
        <v>0.18695025213091809</v>
      </c>
      <c r="I81" s="2">
        <v>0.18626677190213101</v>
      </c>
      <c r="J81" s="2">
        <v>0.18494975718153689</v>
      </c>
      <c r="K81">
        <f t="shared" si="6"/>
        <v>-10.943396226415095</v>
      </c>
      <c r="L81">
        <f t="shared" si="6"/>
        <v>327.3537675941464</v>
      </c>
      <c r="M81">
        <f t="shared" si="6"/>
        <v>-10.943396226415095</v>
      </c>
      <c r="N81">
        <f t="shared" si="6"/>
        <v>155.60385651739347</v>
      </c>
    </row>
    <row r="82" spans="1:14" x14ac:dyDescent="0.3">
      <c r="A82" t="s">
        <v>21</v>
      </c>
      <c r="B82">
        <v>64</v>
      </c>
      <c r="C82">
        <v>2</v>
      </c>
      <c r="D82">
        <v>5000</v>
      </c>
      <c r="E82">
        <v>64</v>
      </c>
      <c r="F82">
        <v>0.5</v>
      </c>
      <c r="G82" s="2">
        <v>0.19179163378058409</v>
      </c>
      <c r="H82" s="2">
        <v>0.18575966916627931</v>
      </c>
      <c r="I82" s="2">
        <v>0.19179163378058409</v>
      </c>
      <c r="J82" s="2">
        <v>0.18815552590684079</v>
      </c>
      <c r="K82">
        <f t="shared" si="6"/>
        <v>-8.3018867924528124</v>
      </c>
      <c r="L82">
        <f t="shared" si="6"/>
        <v>324.63218733537536</v>
      </c>
      <c r="M82">
        <f t="shared" si="6"/>
        <v>-8.3018867924528124</v>
      </c>
      <c r="N82">
        <f t="shared" si="6"/>
        <v>160.03428595821848</v>
      </c>
    </row>
    <row r="83" spans="1:14" x14ac:dyDescent="0.3">
      <c r="A83" t="s">
        <v>21</v>
      </c>
      <c r="B83">
        <v>64</v>
      </c>
      <c r="C83">
        <v>3</v>
      </c>
      <c r="D83">
        <v>5000</v>
      </c>
      <c r="E83">
        <v>64</v>
      </c>
      <c r="F83">
        <v>0.5</v>
      </c>
      <c r="G83" s="2">
        <v>0.17442778216258881</v>
      </c>
      <c r="H83" s="2">
        <v>0.17248708799799289</v>
      </c>
      <c r="I83" s="2">
        <v>0.17442778216258881</v>
      </c>
      <c r="J83" s="2">
        <v>0.17282852956787531</v>
      </c>
      <c r="K83">
        <f t="shared" si="6"/>
        <v>-16.60377358490565</v>
      </c>
      <c r="L83">
        <f t="shared" si="6"/>
        <v>294.29209683903161</v>
      </c>
      <c r="M83">
        <f t="shared" si="6"/>
        <v>-16.60377358490565</v>
      </c>
      <c r="N83">
        <f t="shared" si="6"/>
        <v>138.85210419832464</v>
      </c>
    </row>
    <row r="84" spans="1:14" x14ac:dyDescent="0.3">
      <c r="A84" t="s">
        <v>21</v>
      </c>
      <c r="B84">
        <v>32</v>
      </c>
      <c r="C84">
        <v>1</v>
      </c>
      <c r="D84">
        <v>5000</v>
      </c>
      <c r="E84">
        <v>32</v>
      </c>
      <c r="F84">
        <v>0.8</v>
      </c>
      <c r="G84" s="2">
        <v>0.19021310181531181</v>
      </c>
      <c r="H84" s="2">
        <v>0.186508704191583</v>
      </c>
      <c r="I84" s="2">
        <v>0.19021310181531181</v>
      </c>
      <c r="J84" s="2">
        <v>0.18562107748882889</v>
      </c>
      <c r="K84">
        <f t="shared" si="6"/>
        <v>-9.0566037735848752</v>
      </c>
      <c r="L84">
        <f t="shared" si="6"/>
        <v>326.34442327234177</v>
      </c>
      <c r="M84">
        <f t="shared" si="6"/>
        <v>-9.0566037735848752</v>
      </c>
      <c r="N84">
        <f t="shared" si="6"/>
        <v>156.53163313152467</v>
      </c>
    </row>
    <row r="85" spans="1:14" x14ac:dyDescent="0.3">
      <c r="A85" t="s">
        <v>21</v>
      </c>
      <c r="B85">
        <v>32</v>
      </c>
      <c r="C85">
        <v>2</v>
      </c>
      <c r="D85">
        <v>5000</v>
      </c>
      <c r="E85">
        <v>32</v>
      </c>
      <c r="F85">
        <v>0.8</v>
      </c>
      <c r="G85" s="2">
        <v>0.20441988950276241</v>
      </c>
      <c r="H85" s="2">
        <v>0.20196992526666449</v>
      </c>
      <c r="I85" s="2">
        <v>0.20441988950276241</v>
      </c>
      <c r="J85" s="2">
        <v>0.19616581321001389</v>
      </c>
      <c r="K85">
        <f t="shared" si="6"/>
        <v>-2.2641509433962321</v>
      </c>
      <c r="L85">
        <f t="shared" si="6"/>
        <v>361.68757474033259</v>
      </c>
      <c r="M85">
        <f t="shared" si="6"/>
        <v>-2.2641509433962321</v>
      </c>
      <c r="N85">
        <f t="shared" si="6"/>
        <v>171.10464559374739</v>
      </c>
    </row>
    <row r="86" spans="1:14" x14ac:dyDescent="0.3">
      <c r="A86" t="s">
        <v>21</v>
      </c>
      <c r="B86">
        <v>32</v>
      </c>
      <c r="C86">
        <v>3</v>
      </c>
      <c r="D86">
        <v>5000</v>
      </c>
      <c r="E86">
        <v>32</v>
      </c>
      <c r="F86">
        <v>0.8</v>
      </c>
      <c r="G86" s="2">
        <v>0.20363062352012631</v>
      </c>
      <c r="H86" s="2">
        <v>0.20355571650483581</v>
      </c>
      <c r="I86" s="2">
        <v>0.20363062352012631</v>
      </c>
      <c r="J86" s="2">
        <v>0.20289543923030631</v>
      </c>
      <c r="K86">
        <f t="shared" si="6"/>
        <v>-2.6415094339622445</v>
      </c>
      <c r="L86">
        <f t="shared" si="6"/>
        <v>365.31257044119809</v>
      </c>
      <c r="M86">
        <f t="shared" si="6"/>
        <v>-2.6415094339622445</v>
      </c>
      <c r="N86">
        <f t="shared" si="6"/>
        <v>180.40510854065553</v>
      </c>
    </row>
    <row r="87" spans="1:14" x14ac:dyDescent="0.3">
      <c r="A87" t="s">
        <v>21</v>
      </c>
      <c r="B87">
        <v>64</v>
      </c>
      <c r="C87">
        <v>1</v>
      </c>
      <c r="D87">
        <v>5000</v>
      </c>
      <c r="E87">
        <v>32</v>
      </c>
      <c r="F87">
        <v>0.8</v>
      </c>
      <c r="G87" s="2">
        <v>0.19021310181531181</v>
      </c>
      <c r="H87" s="2">
        <v>0.18764640942501359</v>
      </c>
      <c r="I87" s="2">
        <v>0.19021310181531181</v>
      </c>
      <c r="J87" s="2">
        <v>0.18733072218106031</v>
      </c>
      <c r="K87">
        <f t="shared" si="6"/>
        <v>-9.0566037735848752</v>
      </c>
      <c r="L87">
        <f t="shared" si="6"/>
        <v>328.94512914128956</v>
      </c>
      <c r="M87">
        <f t="shared" si="6"/>
        <v>-9.0566037735848752</v>
      </c>
      <c r="N87">
        <f t="shared" si="6"/>
        <v>158.89439252774227</v>
      </c>
    </row>
    <row r="88" spans="1:14" x14ac:dyDescent="0.3">
      <c r="A88" t="s">
        <v>21</v>
      </c>
      <c r="B88">
        <v>64</v>
      </c>
      <c r="C88">
        <v>2</v>
      </c>
      <c r="D88">
        <v>5000</v>
      </c>
      <c r="E88">
        <v>32</v>
      </c>
      <c r="F88">
        <v>0.8</v>
      </c>
      <c r="G88" s="2">
        <v>0.1815311760063141</v>
      </c>
      <c r="H88" s="2">
        <v>0.17600237876312891</v>
      </c>
      <c r="I88" s="2">
        <v>0.1815311760063141</v>
      </c>
      <c r="J88" s="2">
        <v>0.17568286463575511</v>
      </c>
      <c r="K88">
        <f t="shared" si="6"/>
        <v>-13.207547169811328</v>
      </c>
      <c r="L88">
        <f t="shared" si="6"/>
        <v>302.32777871453811</v>
      </c>
      <c r="M88">
        <f t="shared" si="6"/>
        <v>-13.207547169811328</v>
      </c>
      <c r="N88">
        <f t="shared" si="6"/>
        <v>142.79684606909552</v>
      </c>
    </row>
    <row r="89" spans="1:14" x14ac:dyDescent="0.3">
      <c r="A89" t="s">
        <v>21</v>
      </c>
      <c r="B89">
        <v>64</v>
      </c>
      <c r="C89">
        <v>3</v>
      </c>
      <c r="D89">
        <v>5000</v>
      </c>
      <c r="E89">
        <v>32</v>
      </c>
      <c r="F89">
        <v>0.8</v>
      </c>
      <c r="G89" s="2">
        <v>0.20441988950276241</v>
      </c>
      <c r="H89" s="2">
        <v>0.2057502743788848</v>
      </c>
      <c r="I89" s="2">
        <v>0.20441988950276241</v>
      </c>
      <c r="J89" s="2">
        <v>0.20409766705012011</v>
      </c>
      <c r="K89">
        <f t="shared" si="6"/>
        <v>-2.2641509433962321</v>
      </c>
      <c r="L89">
        <f t="shared" si="6"/>
        <v>370.32915942670786</v>
      </c>
      <c r="M89">
        <f t="shared" si="6"/>
        <v>-2.2641509433962321</v>
      </c>
      <c r="N89">
        <f t="shared" si="6"/>
        <v>182.0666087872078</v>
      </c>
    </row>
    <row r="90" spans="1:14" x14ac:dyDescent="0.3">
      <c r="A90" t="s">
        <v>21</v>
      </c>
      <c r="B90">
        <v>32</v>
      </c>
      <c r="C90">
        <v>1</v>
      </c>
      <c r="D90">
        <v>5000</v>
      </c>
      <c r="E90">
        <v>64</v>
      </c>
      <c r="F90">
        <v>0.8</v>
      </c>
      <c r="G90" s="2">
        <v>0.20441988950276241</v>
      </c>
      <c r="H90" s="2">
        <v>0.2037573140066033</v>
      </c>
      <c r="I90" s="2">
        <v>0.20441988950276241</v>
      </c>
      <c r="J90" s="2">
        <v>0.2036666253603307</v>
      </c>
      <c r="K90">
        <f t="shared" si="6"/>
        <v>-2.2641509433962321</v>
      </c>
      <c r="L90">
        <f t="shared" si="6"/>
        <v>365.77340668472215</v>
      </c>
      <c r="M90">
        <f t="shared" si="6"/>
        <v>-2.2641509433962321</v>
      </c>
      <c r="N90">
        <f t="shared" si="6"/>
        <v>181.47090149940743</v>
      </c>
    </row>
    <row r="91" spans="1:14" x14ac:dyDescent="0.3">
      <c r="A91" t="s">
        <v>21</v>
      </c>
      <c r="B91">
        <v>32</v>
      </c>
      <c r="C91">
        <v>2</v>
      </c>
      <c r="D91">
        <v>5000</v>
      </c>
      <c r="E91">
        <v>64</v>
      </c>
      <c r="F91">
        <v>0.8</v>
      </c>
      <c r="G91" s="2">
        <v>0.19258089976322021</v>
      </c>
      <c r="H91" s="2">
        <v>0.1874317576578626</v>
      </c>
      <c r="I91" s="2">
        <v>0.19258089976322021</v>
      </c>
      <c r="J91" s="2">
        <v>0.18899236677710859</v>
      </c>
      <c r="K91">
        <f t="shared" si="6"/>
        <v>-7.9245283018867854</v>
      </c>
      <c r="L91">
        <f t="shared" si="6"/>
        <v>328.45445186021016</v>
      </c>
      <c r="M91">
        <f t="shared" si="6"/>
        <v>-7.9245283018867854</v>
      </c>
      <c r="N91">
        <f t="shared" si="6"/>
        <v>161.19081493663651</v>
      </c>
    </row>
    <row r="92" spans="1:14" x14ac:dyDescent="0.3">
      <c r="A92" t="s">
        <v>21</v>
      </c>
      <c r="B92">
        <v>32</v>
      </c>
      <c r="C92">
        <v>3</v>
      </c>
      <c r="D92">
        <v>5000</v>
      </c>
      <c r="E92">
        <v>64</v>
      </c>
      <c r="F92">
        <v>0.8</v>
      </c>
      <c r="G92" s="2">
        <v>0.19810576164167321</v>
      </c>
      <c r="H92" s="2">
        <v>0.19531688488404009</v>
      </c>
      <c r="I92" s="2">
        <v>0.19810576164167321</v>
      </c>
      <c r="J92" s="2">
        <v>0.19359646972973141</v>
      </c>
      <c r="K92">
        <f t="shared" si="6"/>
        <v>-5.2830188679245413</v>
      </c>
      <c r="L92">
        <f t="shared" si="6"/>
        <v>346.47924075274585</v>
      </c>
      <c r="M92">
        <f t="shared" si="6"/>
        <v>-5.2830188679245413</v>
      </c>
      <c r="N92">
        <f t="shared" si="6"/>
        <v>167.55376716986598</v>
      </c>
    </row>
    <row r="93" spans="1:14" x14ac:dyDescent="0.3">
      <c r="A93" t="s">
        <v>21</v>
      </c>
      <c r="B93">
        <v>64</v>
      </c>
      <c r="C93">
        <v>1</v>
      </c>
      <c r="D93">
        <v>5000</v>
      </c>
      <c r="E93">
        <v>64</v>
      </c>
      <c r="F93">
        <v>0.8</v>
      </c>
      <c r="G93" s="2">
        <v>0.18232044198895031</v>
      </c>
      <c r="H93" s="2">
        <v>0.1863849368865603</v>
      </c>
      <c r="I93" s="2">
        <v>0.18232044198895031</v>
      </c>
      <c r="J93" s="2">
        <v>0.18281441312567651</v>
      </c>
      <c r="K93">
        <f t="shared" si="6"/>
        <v>-12.830188679245261</v>
      </c>
      <c r="L93">
        <f t="shared" si="6"/>
        <v>326.06150081835455</v>
      </c>
      <c r="M93">
        <f t="shared" si="6"/>
        <v>-12.830188679245261</v>
      </c>
      <c r="N93">
        <f t="shared" si="6"/>
        <v>152.65277302322224</v>
      </c>
    </row>
    <row r="94" spans="1:14" x14ac:dyDescent="0.3">
      <c r="A94" t="s">
        <v>21</v>
      </c>
      <c r="B94">
        <v>64</v>
      </c>
      <c r="C94">
        <v>2</v>
      </c>
      <c r="D94">
        <v>5000</v>
      </c>
      <c r="E94">
        <v>64</v>
      </c>
      <c r="F94">
        <v>0.8</v>
      </c>
      <c r="G94" s="2">
        <v>0.18942383583267561</v>
      </c>
      <c r="H94" s="2">
        <v>0.18688178175405601</v>
      </c>
      <c r="I94" s="2">
        <v>0.18942383583267561</v>
      </c>
      <c r="J94" s="2">
        <v>0.18725863901005091</v>
      </c>
      <c r="K94">
        <f t="shared" si="6"/>
        <v>-9.4339622641509404</v>
      </c>
      <c r="L94">
        <f t="shared" si="6"/>
        <v>327.19724962646745</v>
      </c>
      <c r="M94">
        <f t="shared" si="6"/>
        <v>-9.4339622641509404</v>
      </c>
      <c r="N94">
        <f t="shared" si="6"/>
        <v>158.79477230233198</v>
      </c>
    </row>
    <row r="95" spans="1:14" x14ac:dyDescent="0.3">
      <c r="A95" t="s">
        <v>21</v>
      </c>
      <c r="B95">
        <v>64</v>
      </c>
      <c r="C95">
        <v>3</v>
      </c>
      <c r="D95">
        <v>5000</v>
      </c>
      <c r="E95">
        <v>64</v>
      </c>
      <c r="F95">
        <v>0.8</v>
      </c>
      <c r="G95" s="2">
        <v>0.19731649565903711</v>
      </c>
      <c r="H95" s="2">
        <v>0.19300298673595551</v>
      </c>
      <c r="I95" s="2">
        <v>0.19731649565903711</v>
      </c>
      <c r="J95" s="2">
        <v>0.19396001905081789</v>
      </c>
      <c r="K95">
        <f t="shared" si="6"/>
        <v>-5.6603773584905541</v>
      </c>
      <c r="L95">
        <f t="shared" si="6"/>
        <v>341.18984916251367</v>
      </c>
      <c r="M95">
        <f t="shared" si="6"/>
        <v>-5.6603773584905541</v>
      </c>
      <c r="N95">
        <f t="shared" si="6"/>
        <v>168.05619880275952</v>
      </c>
    </row>
  </sheetData>
  <conditionalFormatting sqref="J2">
    <cfRule type="top10" dxfId="1" priority="2" percent="1" rank="1"/>
  </conditionalFormatting>
  <conditionalFormatting sqref="J20:J56 J60:J95">
    <cfRule type="top10" dxfId="0" priority="5" percent="1" rank="1"/>
  </conditionalFormatting>
  <conditionalFormatting sqref="K2:N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{013C720D-7CFA-4759-A2C7-8691B7826AC7}</x14:id>
        </ext>
      </extLst>
    </cfRule>
  </conditionalFormatting>
  <conditionalFormatting sqref="K20:N9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{7816FC18-986F-4C6B-B9BF-513B080BE13B}</x14:id>
        </ext>
      </extLst>
    </cfRule>
  </conditionalFormatting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3C720D-7CFA-4759-A2C7-8691B7826A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K2:N2</xm:sqref>
        </x14:conditionalFormatting>
        <x14:conditionalFormatting xmlns:xm="http://schemas.microsoft.com/office/excel/2006/main">
          <x14:cfRule type="dataBar" id="{7816FC18-986F-4C6B-B9BF-513B080BE1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K20:N95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Ivanov</cp:lastModifiedBy>
  <dcterms:created xsi:type="dcterms:W3CDTF">2026-02-11T22:12:48Z</dcterms:created>
  <dcterms:modified xsi:type="dcterms:W3CDTF">2026-02-12T14:41:33Z</dcterms:modified>
</cp:coreProperties>
</file>