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Fake News Detection\excel\model reports\"/>
    </mc:Choice>
  </mc:AlternateContent>
  <xr:revisionPtr revIDLastSave="0" documentId="13_ncr:1_{3D3B9E1F-4B85-4D2B-9D46-D688F97EA8A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I5" i="1"/>
  <c r="H5" i="1"/>
  <c r="G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J25" i="1"/>
  <c r="H25" i="1"/>
  <c r="I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25" i="1"/>
</calcChain>
</file>

<file path=xl/sharedStrings.xml><?xml version="1.0" encoding="utf-8"?>
<sst xmlns="http://schemas.openxmlformats.org/spreadsheetml/2006/main" count="75" uniqueCount="48">
  <si>
    <t>model</t>
  </si>
  <si>
    <t>alpha</t>
  </si>
  <si>
    <t>accuracy</t>
  </si>
  <si>
    <t>precision</t>
  </si>
  <si>
    <t>recall</t>
  </si>
  <si>
    <t>f1</t>
  </si>
  <si>
    <t>Baseline(predicting the most common class)</t>
  </si>
  <si>
    <t>Naive Bayes with TfidfVectorizer</t>
  </si>
  <si>
    <t>Naive Bayes with CountVectorizer</t>
  </si>
  <si>
    <t>Naive Bayes with All Features</t>
  </si>
  <si>
    <t>Naive Bayes with All Features without statement</t>
  </si>
  <si>
    <t>Naive Bayes with All Numerical Features</t>
  </si>
  <si>
    <t>Naive Bayes with Initial Numerical Features</t>
  </si>
  <si>
    <t>Naive Bayes with Initial Categorical Features</t>
  </si>
  <si>
    <t>Naive Bayes with Initial Categorical Features including statement</t>
  </si>
  <si>
    <t>Naive Bayes with only statement removing stopwords and 2-grams</t>
  </si>
  <si>
    <t>Naive Bayes with only statement removing stopwords and 2-grams using TF-IDF</t>
  </si>
  <si>
    <t>Naive Bayes with only statement removing stopwords and 2-grams using TF-IDF and stemming</t>
  </si>
  <si>
    <t>Naive Bayes with only statement removing stopwords and 2-grams using CountVectorizer and stemming</t>
  </si>
  <si>
    <t>Naive Bayes with statement, context_group, state_category, and party_affiliation removing stopwords and 2-grams using CountVectorizer and stemming with max_features=100</t>
  </si>
  <si>
    <t>Naive Bayes with cat columns removing stopwords and 2-grams using CountVectorizer and stemming with max_features=100</t>
  </si>
  <si>
    <t>Naive Bayes with cat columns including truth_index</t>
  </si>
  <si>
    <t>Naive Bayes with cat columns including statement_length</t>
  </si>
  <si>
    <t>Naive Bayes with cat columns including false news column</t>
  </si>
  <si>
    <t>Naive Bayes with cat columns including adjectives</t>
  </si>
  <si>
    <t>Naive Bayes with cat columns including adjectives, proper_nouns, and other</t>
  </si>
  <si>
    <t>Naive Bayes with cat columns including lexical_diversity</t>
  </si>
  <si>
    <t>Comments</t>
  </si>
  <si>
    <t>accuracy increase</t>
  </si>
  <si>
    <t>precision increase</t>
  </si>
  <si>
    <t>recall increase</t>
  </si>
  <si>
    <t>f1 increase</t>
  </si>
  <si>
    <t xml:space="preserve"> </t>
  </si>
  <si>
    <t xml:space="preserve">Here experiments were conducted only on statement column, to see what its impact really is. Around ~0.25 f1 weighted score isnt the best, it seems that the column will not contribute that much, not completely unexpectedly, as the statements are relatively short and we dont have too much data, </t>
  </si>
  <si>
    <t>Another thing is that Count vectorizing looks better than Tf-idf vectorizing</t>
  </si>
  <si>
    <t>Baseline model, just predicing the most common class</t>
  </si>
  <si>
    <t>Using grid search, we tried to use all features with Count vectorizing the statement column, although really successful</t>
  </si>
  <si>
    <t>Here the statement column is not used and we see an improvement</t>
  </si>
  <si>
    <t>Removing categorical columns, almost the same score</t>
  </si>
  <si>
    <t>Here we use only the credit history cols, which are given in the initial data, a little worse results</t>
  </si>
  <si>
    <t>These experiments were conducted to see what feature should we add to the cat columns, because they seemed influential, sadly the results are not that good</t>
  </si>
  <si>
    <t>We conducted more experiments with the statent columns like leminization and removing stopwords, some good results, but not good enough</t>
  </si>
  <si>
    <t>We see cat features look very benefitial, the score still needs to be improved though</t>
  </si>
  <si>
    <t>Statement however doesn’t contribute enough</t>
  </si>
  <si>
    <t>Column1</t>
  </si>
  <si>
    <t>Best model:</t>
  </si>
  <si>
    <t>We can see also by the auc curve, the naïve bayes models are not good enough, and more worrying, the statement column doent seem as impactful as the other columns. Maybe not that susrprising, given that the statements are relatively short</t>
  </si>
  <si>
    <t>We chose the best model which uses statement (and potentially other) column, because the aim of the naïve bayes experiments was to show how much of an impact the statement column makes. It uses Count vectorizing and the 3 categorical cols party affiliation, context_group and state_category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</si>
</sst>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4" x14ac:knownFonts="1">
    <font>
      <sz val="11"/>
      <color theme="1"/>
      <name val="Calibri"/>
      <family val="2"/>
      <scheme val="minor"/>
    </font>
    <font>
      <b/>
      <sz val="11"/>
      <name val="Calibri"/>
      <family val="2"/>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5"/>
        <bgColor theme="5"/>
      </patternFill>
    </fill>
    <fill>
      <patternFill patternType="solid">
        <fgColor theme="5" tint="0.59999389629810485"/>
        <bgColor theme="5" tint="0.59999389629810485"/>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165" fontId="0" fillId="0" borderId="0" xfId="0" applyNumberFormat="1"/>
    <xf numFmtId="165" fontId="0" fillId="0" borderId="4" xfId="0" applyNumberFormat="1" applyBorder="1"/>
    <xf numFmtId="165" fontId="0" fillId="0" borderId="9" xfId="0" applyNumberFormat="1" applyBorder="1"/>
    <xf numFmtId="165" fontId="0" fillId="0" borderId="0" xfId="0" applyNumberFormat="1" applyBorder="1"/>
    <xf numFmtId="0" fontId="0" fillId="3" borderId="12" xfId="0" applyFont="1" applyFill="1" applyBorder="1"/>
    <xf numFmtId="0" fontId="1" fillId="2" borderId="1" xfId="0" applyFont="1" applyFill="1" applyBorder="1" applyAlignment="1">
      <alignment horizontal="center" vertical="top"/>
    </xf>
    <xf numFmtId="165" fontId="0" fillId="3" borderId="13" xfId="0" applyNumberFormat="1" applyFont="1" applyFill="1" applyBorder="1"/>
    <xf numFmtId="0" fontId="1" fillId="2" borderId="11" xfId="0" applyFont="1" applyFill="1" applyBorder="1" applyAlignment="1">
      <alignment horizontal="center" vertical="top"/>
    </xf>
    <xf numFmtId="0" fontId="3" fillId="0" borderId="0" xfId="0" applyFont="1"/>
  </cellXfs>
  <cellStyles count="1">
    <cellStyle name="Normal" xfId="0" builtinId="0"/>
  </cellStyles>
  <dxfs count="12">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right style="medium">
          <color indexed="64"/>
        </right>
        <top/>
        <bottom/>
        <vertical/>
        <horizontal/>
      </border>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border diagonalUp="0" diagonalDown="0">
        <left style="medium">
          <color indexed="64"/>
        </left>
        <right/>
        <top/>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1407584</xdr:colOff>
      <xdr:row>0</xdr:row>
      <xdr:rowOff>0</xdr:rowOff>
    </xdr:from>
    <xdr:to>
      <xdr:col>16</xdr:col>
      <xdr:colOff>610809</xdr:colOff>
      <xdr:row>20</xdr:row>
      <xdr:rowOff>99026</xdr:rowOff>
    </xdr:to>
    <xdr:pic>
      <xdr:nvPicPr>
        <xdr:cNvPr id="4" name="Picture 3">
          <a:extLst>
            <a:ext uri="{FF2B5EF4-FFF2-40B4-BE49-F238E27FC236}">
              <a16:creationId xmlns:a16="http://schemas.microsoft.com/office/drawing/2014/main" id="{85B59D8B-CDEA-48D6-A64C-45267046E78C}"/>
            </a:ext>
          </a:extLst>
        </xdr:cNvPr>
        <xdr:cNvPicPr>
          <a:picLocks noChangeAspect="1"/>
        </xdr:cNvPicPr>
      </xdr:nvPicPr>
      <xdr:blipFill>
        <a:blip xmlns:r="http://schemas.openxmlformats.org/officeDocument/2006/relationships" r:embed="rId1"/>
        <a:stretch>
          <a:fillRect/>
        </a:stretch>
      </xdr:blipFill>
      <xdr:spPr>
        <a:xfrm>
          <a:off x="15853834" y="0"/>
          <a:ext cx="5362725" cy="3718526"/>
        </a:xfrm>
        <a:prstGeom prst="rect">
          <a:avLst/>
        </a:prstGeom>
      </xdr:spPr>
    </xdr:pic>
    <xdr:clientData/>
  </xdr:twoCellAnchor>
  <xdr:twoCellAnchor editAs="oneCell">
    <xdr:from>
      <xdr:col>16</xdr:col>
      <xdr:colOff>476251</xdr:colOff>
      <xdr:row>0</xdr:row>
      <xdr:rowOff>0</xdr:rowOff>
    </xdr:from>
    <xdr:to>
      <xdr:col>24</xdr:col>
      <xdr:colOff>169334</xdr:colOff>
      <xdr:row>21</xdr:row>
      <xdr:rowOff>128383</xdr:rowOff>
    </xdr:to>
    <xdr:pic>
      <xdr:nvPicPr>
        <xdr:cNvPr id="5" name="Picture 4">
          <a:extLst>
            <a:ext uri="{FF2B5EF4-FFF2-40B4-BE49-F238E27FC236}">
              <a16:creationId xmlns:a16="http://schemas.microsoft.com/office/drawing/2014/main" id="{C6CFC806-380A-4A17-9345-4DF9E92F2FA7}"/>
            </a:ext>
          </a:extLst>
        </xdr:cNvPr>
        <xdr:cNvPicPr>
          <a:picLocks noChangeAspect="1"/>
        </xdr:cNvPicPr>
      </xdr:nvPicPr>
      <xdr:blipFill>
        <a:blip xmlns:r="http://schemas.openxmlformats.org/officeDocument/2006/relationships" r:embed="rId2"/>
        <a:stretch>
          <a:fillRect/>
        </a:stretch>
      </xdr:blipFill>
      <xdr:spPr>
        <a:xfrm>
          <a:off x="21082001" y="0"/>
          <a:ext cx="4603750" cy="39278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8A29BB-074E-4DF2-A560-A4490A01D05B}" name="Table1" displayName="Table1" ref="A24:L60" totalsRowShown="0" headerRowDxfId="0">
  <autoFilter ref="A24:L60" xr:uid="{458A29BB-074E-4DF2-A560-A4490A01D05B}"/>
  <tableColumns count="12">
    <tableColumn id="1" xr3:uid="{19A2F748-DF17-4DD5-8B20-9C558BBCE61C}" name="model" dataDxfId="11"/>
    <tableColumn id="2" xr3:uid="{249CA41B-6A26-47BF-89D2-3CE93F14039F}" name="alpha" dataDxfId="10"/>
    <tableColumn id="3" xr3:uid="{C7CD2B29-D376-4EE4-A2F3-6CA8381999F0}" name="accuracy" dataDxfId="9"/>
    <tableColumn id="4" xr3:uid="{1087BBFF-AF9F-41AB-8C9B-7297EDED801C}" name="precision" dataDxfId="8"/>
    <tableColumn id="5" xr3:uid="{5289D02B-7688-4E88-9EC4-A0FAB2FA9D4F}" name="recall" dataDxfId="7"/>
    <tableColumn id="6" xr3:uid="{6651E520-183E-4C48-8B68-1C8703560547}" name="f1" dataDxfId="6"/>
    <tableColumn id="7" xr3:uid="{59DDBEF5-CB0D-4265-8C97-95261D5C9E2E}" name="accuracy increase" dataDxfId="5">
      <calculatedColumnFormula>100*(C25-$C$25)/C$25</calculatedColumnFormula>
    </tableColumn>
    <tableColumn id="8" xr3:uid="{9C143F58-1A5F-49DB-9C0A-6369608F3C46}" name="precision increase" dataDxfId="4">
      <calculatedColumnFormula>100*(D25-$D$25)/D$25</calculatedColumnFormula>
    </tableColumn>
    <tableColumn id="9" xr3:uid="{68F9D9F7-65D3-4C26-8899-73C1F0CE39CB}" name="recall increase" dataDxfId="3">
      <calculatedColumnFormula>100*(E25-$C$25)/E$25</calculatedColumnFormula>
    </tableColumn>
    <tableColumn id="10" xr3:uid="{25BDC49F-D170-4B60-827E-29955E4EFF6E}" name="f1 increase" dataDxfId="2">
      <calculatedColumnFormula>100*(F25-$F$25)/F$25</calculatedColumnFormula>
    </tableColumn>
    <tableColumn id="11" xr3:uid="{E4DDEED0-B2FA-4B65-A197-4811F64BB748}" name="Comments" dataDxfId="1"/>
    <tableColumn id="12" xr3:uid="{9F8FC9F7-F82E-42F7-A9D8-A15C0D5424FA}" name="Column1"/>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60"/>
  <sheetViews>
    <sheetView tabSelected="1" topLeftCell="A2" zoomScale="72" workbookViewId="0">
      <selection activeCell="A8" sqref="A8"/>
    </sheetView>
  </sheetViews>
  <sheetFormatPr defaultRowHeight="14.4" x14ac:dyDescent="0.3"/>
  <cols>
    <col min="1" max="1" width="70.77734375" customWidth="1"/>
    <col min="3" max="3" width="9.88671875" customWidth="1"/>
    <col min="4" max="4" width="10.44140625" customWidth="1"/>
    <col min="6" max="6" width="21.77734375" customWidth="1"/>
    <col min="7" max="7" width="20.88671875" customWidth="1"/>
    <col min="8" max="8" width="22.6640625" customWidth="1"/>
    <col min="9" max="9" width="20.44140625" customWidth="1"/>
    <col min="10" max="10" width="15.88671875" customWidth="1"/>
    <col min="11" max="11" width="43.44140625" customWidth="1"/>
    <col min="12" max="12" width="10.44140625" customWidth="1"/>
  </cols>
  <sheetData>
    <row r="3" spans="1:10" x14ac:dyDescent="0.3">
      <c r="A3" s="18" t="s">
        <v>45</v>
      </c>
    </row>
    <row r="4" spans="1:10" ht="15" thickBot="1" x14ac:dyDescent="0.35">
      <c r="A4" s="15" t="s">
        <v>0</v>
      </c>
      <c r="B4" s="15" t="s">
        <v>1</v>
      </c>
      <c r="C4" s="15" t="s">
        <v>2</v>
      </c>
      <c r="D4" s="15" t="s">
        <v>3</v>
      </c>
      <c r="E4" s="15" t="s">
        <v>4</v>
      </c>
      <c r="F4" s="15" t="s">
        <v>5</v>
      </c>
      <c r="G4" s="17" t="s">
        <v>28</v>
      </c>
      <c r="H4" s="17" t="s">
        <v>29</v>
      </c>
      <c r="I4" s="17" t="s">
        <v>30</v>
      </c>
      <c r="J4" s="17" t="s">
        <v>31</v>
      </c>
    </row>
    <row r="5" spans="1:10" ht="15" thickTop="1" x14ac:dyDescent="0.3">
      <c r="A5" s="14" t="s">
        <v>14</v>
      </c>
      <c r="B5" s="16">
        <v>1</v>
      </c>
      <c r="C5" s="16">
        <v>0.26221180148495499</v>
      </c>
      <c r="D5" s="16">
        <v>0.28694031691838051</v>
      </c>
      <c r="E5" s="16">
        <v>0.26221180148495499</v>
      </c>
      <c r="F5" s="16">
        <v>0.26824245037744221</v>
      </c>
      <c r="G5" s="16">
        <f>100*(C5-$C$25)/C$25</f>
        <v>27.672293597033057</v>
      </c>
      <c r="H5" s="16">
        <f>100*(D5-$D$25)/D$25</f>
        <v>580.26860122532332</v>
      </c>
      <c r="I5" s="16">
        <f>100*(E5-$C$25)/E$25</f>
        <v>27.672293597033057</v>
      </c>
      <c r="J5" s="16">
        <f>100*(F5-$F$25)/F$25</f>
        <v>283.27448320462565</v>
      </c>
    </row>
    <row r="6" spans="1:10" x14ac:dyDescent="0.3">
      <c r="A6" t="s">
        <v>27</v>
      </c>
    </row>
    <row r="7" spans="1:10" x14ac:dyDescent="0.3">
      <c r="A7" t="s">
        <v>47</v>
      </c>
    </row>
    <row r="8" spans="1:10" x14ac:dyDescent="0.3">
      <c r="A8" t="s">
        <v>46</v>
      </c>
    </row>
    <row r="24" spans="1:12" x14ac:dyDescent="0.3">
      <c r="A24" s="1" t="s">
        <v>0</v>
      </c>
      <c r="B24" s="1" t="s">
        <v>1</v>
      </c>
      <c r="C24" s="1" t="s">
        <v>2</v>
      </c>
      <c r="D24" s="1" t="s">
        <v>3</v>
      </c>
      <c r="E24" s="1" t="s">
        <v>4</v>
      </c>
      <c r="F24" s="1" t="s">
        <v>5</v>
      </c>
      <c r="G24" s="2" t="s">
        <v>28</v>
      </c>
      <c r="H24" s="2" t="s">
        <v>29</v>
      </c>
      <c r="I24" s="2" t="s">
        <v>30</v>
      </c>
      <c r="J24" s="2" t="s">
        <v>31</v>
      </c>
      <c r="K24" s="3" t="s">
        <v>27</v>
      </c>
      <c r="L24" t="s">
        <v>44</v>
      </c>
    </row>
    <row r="25" spans="1:12" ht="15" thickBot="1" x14ac:dyDescent="0.35">
      <c r="A25" t="s">
        <v>6</v>
      </c>
      <c r="C25" s="10">
        <v>0.20537878195606291</v>
      </c>
      <c r="D25" s="10">
        <v>4.2180444077756007E-2</v>
      </c>
      <c r="E25" s="10">
        <v>0.20537878195606291</v>
      </c>
      <c r="F25" s="10">
        <v>6.9987035957786631E-2</v>
      </c>
      <c r="G25">
        <f>100*(C25-$C$25)/C$25</f>
        <v>0</v>
      </c>
      <c r="H25">
        <f>100*(D25-$D$25)/D$25</f>
        <v>0</v>
      </c>
      <c r="I25">
        <f t="shared" ref="I25:I40" si="0">100*(E25-$C$25)/E$25</f>
        <v>0</v>
      </c>
      <c r="J25">
        <f>100*(F25-$F$25)/F$25</f>
        <v>0</v>
      </c>
      <c r="K25" t="s">
        <v>35</v>
      </c>
    </row>
    <row r="26" spans="1:12" x14ac:dyDescent="0.3">
      <c r="A26" s="4" t="s">
        <v>7</v>
      </c>
      <c r="B26" s="11">
        <v>5.0000000000000001E-3</v>
      </c>
      <c r="C26" s="11">
        <v>0.23876514263384141</v>
      </c>
      <c r="D26" s="11">
        <v>0.24136241750075171</v>
      </c>
      <c r="E26" s="11">
        <v>0.23876514263384141</v>
      </c>
      <c r="F26" s="11">
        <v>0.2359920573922287</v>
      </c>
      <c r="G26" s="10">
        <f t="shared" ref="G26:G60" si="1">100*(C26-$C$25)/C$25</f>
        <v>16.255993126359524</v>
      </c>
      <c r="H26" s="10">
        <f t="shared" ref="H26:H60" si="2">100*(D26-$D$25)/D$25</f>
        <v>472.21402661342523</v>
      </c>
      <c r="I26" s="10">
        <f t="shared" si="0"/>
        <v>16.255993126359524</v>
      </c>
      <c r="J26" s="10">
        <f t="shared" ref="J26:J60" si="3">100*(F26-$F$25)/F$25</f>
        <v>237.19395908489341</v>
      </c>
      <c r="K26" s="5" t="s">
        <v>33</v>
      </c>
      <c r="L26" t="s">
        <v>32</v>
      </c>
    </row>
    <row r="27" spans="1:12" x14ac:dyDescent="0.3">
      <c r="A27" s="6" t="s">
        <v>8</v>
      </c>
      <c r="B27" s="10">
        <v>5.0000000000000001E-3</v>
      </c>
      <c r="C27" s="10">
        <v>0.24071903087143409</v>
      </c>
      <c r="D27" s="10">
        <v>0.24062090422606919</v>
      </c>
      <c r="E27" s="10">
        <v>0.24071903087143409</v>
      </c>
      <c r="F27" s="10">
        <v>0.24002427633752599</v>
      </c>
      <c r="G27" s="10">
        <f t="shared" si="1"/>
        <v>17.207351498915596</v>
      </c>
      <c r="H27" s="10">
        <f t="shared" si="2"/>
        <v>470.45607149726851</v>
      </c>
      <c r="I27" s="10">
        <f t="shared" si="0"/>
        <v>17.207351498915596</v>
      </c>
      <c r="J27" s="10">
        <f t="shared" si="3"/>
        <v>242.95533887490103</v>
      </c>
      <c r="K27" s="7" t="s">
        <v>34</v>
      </c>
    </row>
    <row r="28" spans="1:12" x14ac:dyDescent="0.3">
      <c r="A28" s="6" t="s">
        <v>7</v>
      </c>
      <c r="B28" s="10">
        <v>0.1</v>
      </c>
      <c r="C28" s="10">
        <v>0.24462680734661979</v>
      </c>
      <c r="D28" s="10">
        <v>0.25253245481562209</v>
      </c>
      <c r="E28" s="10">
        <v>0.24462680734661979</v>
      </c>
      <c r="F28" s="10">
        <v>0.23885890043951441</v>
      </c>
      <c r="G28" s="10">
        <f t="shared" si="1"/>
        <v>19.110068244027904</v>
      </c>
      <c r="H28" s="10">
        <f t="shared" si="2"/>
        <v>498.69558117999026</v>
      </c>
      <c r="I28" s="10">
        <f t="shared" si="0"/>
        <v>19.110068244027904</v>
      </c>
      <c r="J28" s="10">
        <f t="shared" si="3"/>
        <v>241.29020778017303</v>
      </c>
      <c r="K28" s="7"/>
    </row>
    <row r="29" spans="1:12" x14ac:dyDescent="0.3">
      <c r="A29" s="6" t="s">
        <v>8</v>
      </c>
      <c r="B29" s="10">
        <v>0.1</v>
      </c>
      <c r="C29" s="10">
        <v>0.24618991793669401</v>
      </c>
      <c r="D29" s="10">
        <v>0.24619709550957211</v>
      </c>
      <c r="E29" s="10">
        <v>0.24618991793669401</v>
      </c>
      <c r="F29" s="10">
        <v>0.24565243688704799</v>
      </c>
      <c r="G29" s="10">
        <f t="shared" si="1"/>
        <v>19.871154942072796</v>
      </c>
      <c r="H29" s="10">
        <f t="shared" si="2"/>
        <v>483.67592113475388</v>
      </c>
      <c r="I29" s="10">
        <f t="shared" si="0"/>
        <v>19.871154942072796</v>
      </c>
      <c r="J29" s="10">
        <f t="shared" si="3"/>
        <v>250.99705756251154</v>
      </c>
      <c r="K29" s="7"/>
    </row>
    <row r="30" spans="1:12" x14ac:dyDescent="0.3">
      <c r="A30" s="6" t="s">
        <v>7</v>
      </c>
      <c r="B30" s="10">
        <v>0.5</v>
      </c>
      <c r="C30" s="10">
        <v>0.2415005861664713</v>
      </c>
      <c r="D30" s="10">
        <v>0.25174125673907771</v>
      </c>
      <c r="E30" s="10">
        <v>0.2415005861664713</v>
      </c>
      <c r="F30" s="10">
        <v>0.2179835708179384</v>
      </c>
      <c r="G30" s="10">
        <f t="shared" si="1"/>
        <v>17.587894847938088</v>
      </c>
      <c r="H30" s="10">
        <f t="shared" si="2"/>
        <v>496.8198349809083</v>
      </c>
      <c r="I30" s="10">
        <f t="shared" si="0"/>
        <v>17.587894847938088</v>
      </c>
      <c r="J30" s="10">
        <f t="shared" si="3"/>
        <v>211.46278426395617</v>
      </c>
      <c r="K30" s="7"/>
    </row>
    <row r="31" spans="1:12" x14ac:dyDescent="0.3">
      <c r="A31" s="6" t="s">
        <v>8</v>
      </c>
      <c r="B31" s="10">
        <v>0.5</v>
      </c>
      <c r="C31" s="10">
        <v>0.25009769441187962</v>
      </c>
      <c r="D31" s="10">
        <v>0.25181796830829861</v>
      </c>
      <c r="E31" s="10">
        <v>0.25009769441187962</v>
      </c>
      <c r="F31" s="10">
        <v>0.24763684919110121</v>
      </c>
      <c r="G31" s="10">
        <f t="shared" si="1"/>
        <v>21.773871687185057</v>
      </c>
      <c r="H31" s="10">
        <f t="shared" si="2"/>
        <v>497.00170022888784</v>
      </c>
      <c r="I31" s="10">
        <f t="shared" si="0"/>
        <v>21.773871687185057</v>
      </c>
      <c r="J31" s="10">
        <f t="shared" si="3"/>
        <v>253.83245740034741</v>
      </c>
      <c r="K31" s="7"/>
    </row>
    <row r="32" spans="1:12" x14ac:dyDescent="0.3">
      <c r="A32" s="6" t="s">
        <v>7</v>
      </c>
      <c r="B32" s="10">
        <v>1</v>
      </c>
      <c r="C32" s="10">
        <v>0.24423602969910119</v>
      </c>
      <c r="D32" s="10">
        <v>0.2390646875387703</v>
      </c>
      <c r="E32" s="10">
        <v>0.24423602969910119</v>
      </c>
      <c r="F32" s="10">
        <v>0.20424779884954769</v>
      </c>
      <c r="G32" s="10">
        <f t="shared" si="1"/>
        <v>18.919796569516656</v>
      </c>
      <c r="H32" s="10">
        <f t="shared" si="2"/>
        <v>466.76664450965751</v>
      </c>
      <c r="I32" s="10">
        <f t="shared" si="0"/>
        <v>18.919796569516656</v>
      </c>
      <c r="J32" s="10">
        <f t="shared" si="3"/>
        <v>191.83661810273227</v>
      </c>
      <c r="K32" s="7"/>
    </row>
    <row r="33" spans="1:11" x14ac:dyDescent="0.3">
      <c r="A33" s="6" t="s">
        <v>8</v>
      </c>
      <c r="B33" s="10">
        <v>1</v>
      </c>
      <c r="C33" s="10">
        <v>0.24892536146932401</v>
      </c>
      <c r="D33" s="10">
        <v>0.26079296005672459</v>
      </c>
      <c r="E33" s="10">
        <v>0.24892536146932401</v>
      </c>
      <c r="F33" s="10">
        <v>0.24159067640489809</v>
      </c>
      <c r="G33" s="10">
        <f t="shared" si="1"/>
        <v>21.203056663651413</v>
      </c>
      <c r="H33" s="10">
        <f t="shared" si="2"/>
        <v>518.27931345619606</v>
      </c>
      <c r="I33" s="10">
        <f t="shared" si="0"/>
        <v>21.203056663651413</v>
      </c>
      <c r="J33" s="10">
        <f t="shared" si="3"/>
        <v>245.19346775968035</v>
      </c>
      <c r="K33" s="7"/>
    </row>
    <row r="34" spans="1:11" x14ac:dyDescent="0.3">
      <c r="A34" s="6" t="s">
        <v>7</v>
      </c>
      <c r="B34" s="10">
        <v>2</v>
      </c>
      <c r="C34" s="10">
        <v>0.23602969910121141</v>
      </c>
      <c r="D34" s="10">
        <v>0.25640140395722971</v>
      </c>
      <c r="E34" s="10">
        <v>0.23602969910121141</v>
      </c>
      <c r="F34" s="10">
        <v>0.18308985404236061</v>
      </c>
      <c r="G34" s="10">
        <f t="shared" si="1"/>
        <v>14.924091404780908</v>
      </c>
      <c r="H34" s="10">
        <f t="shared" si="2"/>
        <v>507.86795768336589</v>
      </c>
      <c r="I34" s="10">
        <f t="shared" si="0"/>
        <v>14.924091404780908</v>
      </c>
      <c r="J34" s="10">
        <f t="shared" si="3"/>
        <v>161.60538382107376</v>
      </c>
      <c r="K34" s="7"/>
    </row>
    <row r="35" spans="1:11" x14ac:dyDescent="0.3">
      <c r="A35" s="6" t="s">
        <v>8</v>
      </c>
      <c r="B35" s="10">
        <v>2</v>
      </c>
      <c r="C35" s="10">
        <v>0.24462680734661979</v>
      </c>
      <c r="D35" s="10">
        <v>0.27885250712187898</v>
      </c>
      <c r="E35" s="10">
        <v>0.24462680734661979</v>
      </c>
      <c r="F35" s="10">
        <v>0.22557981376271391</v>
      </c>
      <c r="G35" s="10">
        <f t="shared" si="1"/>
        <v>19.110068244027904</v>
      </c>
      <c r="H35" s="10">
        <f t="shared" si="2"/>
        <v>561.09428959030981</v>
      </c>
      <c r="I35" s="10">
        <f t="shared" si="0"/>
        <v>19.110068244027904</v>
      </c>
      <c r="J35" s="10">
        <f t="shared" si="3"/>
        <v>222.31657002701843</v>
      </c>
      <c r="K35" s="7"/>
    </row>
    <row r="36" spans="1:11" x14ac:dyDescent="0.3">
      <c r="A36" s="6" t="s">
        <v>7</v>
      </c>
      <c r="B36" s="10">
        <v>5</v>
      </c>
      <c r="C36" s="10">
        <v>0.23759280969128571</v>
      </c>
      <c r="D36" s="10">
        <v>0.24612040010398581</v>
      </c>
      <c r="E36" s="10">
        <v>0.23759280969128571</v>
      </c>
      <c r="F36" s="10">
        <v>0.17087672715514479</v>
      </c>
      <c r="G36" s="10">
        <f t="shared" si="1"/>
        <v>15.685178102825839</v>
      </c>
      <c r="H36" s="10">
        <f t="shared" si="2"/>
        <v>483.4940942069839</v>
      </c>
      <c r="I36" s="10">
        <f t="shared" si="0"/>
        <v>15.685178102825839</v>
      </c>
      <c r="J36" s="10">
        <f t="shared" si="3"/>
        <v>144.15482784298905</v>
      </c>
      <c r="K36" s="7"/>
    </row>
    <row r="37" spans="1:11" x14ac:dyDescent="0.3">
      <c r="A37" s="6" t="s">
        <v>8</v>
      </c>
      <c r="B37" s="10">
        <v>5</v>
      </c>
      <c r="C37" s="10">
        <v>0.23602969910121141</v>
      </c>
      <c r="D37" s="10">
        <v>0.2487256031235697</v>
      </c>
      <c r="E37" s="10">
        <v>0.23602969910121141</v>
      </c>
      <c r="F37" s="10">
        <v>0.18931913516059429</v>
      </c>
      <c r="G37" s="10">
        <f t="shared" si="1"/>
        <v>14.924091404780908</v>
      </c>
      <c r="H37" s="10">
        <f t="shared" si="2"/>
        <v>489.67042325364218</v>
      </c>
      <c r="I37" s="10">
        <f t="shared" si="0"/>
        <v>14.924091404780908</v>
      </c>
      <c r="J37" s="10">
        <f t="shared" si="3"/>
        <v>170.50600524757755</v>
      </c>
      <c r="K37" s="7"/>
    </row>
    <row r="38" spans="1:11" x14ac:dyDescent="0.3">
      <c r="A38" s="6" t="s">
        <v>7</v>
      </c>
      <c r="B38" s="10">
        <v>10</v>
      </c>
      <c r="C38" s="10">
        <v>0.22938647909339591</v>
      </c>
      <c r="D38" s="10">
        <v>0.14426970370556669</v>
      </c>
      <c r="E38" s="10">
        <v>0.22938647909339591</v>
      </c>
      <c r="F38" s="10">
        <v>0.152860129834332</v>
      </c>
      <c r="G38" s="10">
        <f t="shared" si="1"/>
        <v>11.689472938090077</v>
      </c>
      <c r="H38" s="10">
        <f t="shared" si="2"/>
        <v>242.02983600556206</v>
      </c>
      <c r="I38" s="10">
        <f t="shared" si="0"/>
        <v>11.689472938090077</v>
      </c>
      <c r="J38" s="10">
        <f t="shared" si="3"/>
        <v>118.41206409502909</v>
      </c>
      <c r="K38" s="7"/>
    </row>
    <row r="39" spans="1:11" ht="15" thickBot="1" x14ac:dyDescent="0.35">
      <c r="A39" s="8" t="s">
        <v>8</v>
      </c>
      <c r="B39" s="12">
        <v>10</v>
      </c>
      <c r="C39" s="12">
        <v>0.2278233685033216</v>
      </c>
      <c r="D39" s="12">
        <v>0.27335759739056498</v>
      </c>
      <c r="E39" s="12">
        <v>0.2278233685033216</v>
      </c>
      <c r="F39" s="12">
        <v>0.16140806430923399</v>
      </c>
      <c r="G39" s="10">
        <f t="shared" si="1"/>
        <v>10.928386240045144</v>
      </c>
      <c r="H39" s="10">
        <f t="shared" si="2"/>
        <v>548.06713956508815</v>
      </c>
      <c r="I39" s="10">
        <f t="shared" si="0"/>
        <v>10.928386240045144</v>
      </c>
      <c r="J39" s="10">
        <f t="shared" si="3"/>
        <v>130.62566102469154</v>
      </c>
      <c r="K39" s="9"/>
    </row>
    <row r="40" spans="1:11" x14ac:dyDescent="0.3">
      <c r="A40" t="s">
        <v>9</v>
      </c>
      <c r="B40" s="10">
        <v>5.0000000000000001E-3</v>
      </c>
      <c r="C40" s="10">
        <v>0.20984759671746769</v>
      </c>
      <c r="D40" s="10">
        <v>0.34731095215520769</v>
      </c>
      <c r="E40" s="10">
        <v>0.20984759671746769</v>
      </c>
      <c r="F40" s="10">
        <v>0.23029385937194871</v>
      </c>
      <c r="G40" s="10">
        <f t="shared" si="1"/>
        <v>2.1758892125286877</v>
      </c>
      <c r="H40" s="10">
        <f t="shared" si="2"/>
        <v>723.39330405097189</v>
      </c>
      <c r="I40" s="10">
        <f t="shared" si="0"/>
        <v>2.1758892125286877</v>
      </c>
      <c r="J40" s="10">
        <f t="shared" si="3"/>
        <v>229.05216833422227</v>
      </c>
      <c r="K40" t="s">
        <v>36</v>
      </c>
    </row>
    <row r="41" spans="1:11" x14ac:dyDescent="0.3">
      <c r="A41" t="s">
        <v>10</v>
      </c>
      <c r="B41" s="10">
        <v>5.0000000000000001E-3</v>
      </c>
      <c r="C41" s="10">
        <v>0.18679171551387261</v>
      </c>
      <c r="D41" s="10">
        <v>0.55830146346195808</v>
      </c>
      <c r="E41" s="10">
        <v>0.18679171551387261</v>
      </c>
      <c r="F41" s="10">
        <v>0.25334432352339958</v>
      </c>
      <c r="G41" s="10">
        <f t="shared" si="1"/>
        <v>-9.0501395836336531</v>
      </c>
      <c r="H41" s="10">
        <f t="shared" si="2"/>
        <v>1223.6026212355127</v>
      </c>
      <c r="I41" s="10">
        <f t="shared" ref="I41:I60" si="4">100*(E41-$C$25)/E$25</f>
        <v>-9.0501395836336531</v>
      </c>
      <c r="J41" s="10">
        <f t="shared" si="3"/>
        <v>261.98750248004029</v>
      </c>
      <c r="K41" t="s">
        <v>37</v>
      </c>
    </row>
    <row r="42" spans="1:11" x14ac:dyDescent="0.3">
      <c r="A42" t="s">
        <v>11</v>
      </c>
      <c r="B42" s="10">
        <v>5.0000000000000001E-3</v>
      </c>
      <c r="C42" s="10">
        <v>0.18796404845642831</v>
      </c>
      <c r="D42" s="10">
        <v>0.56176332748182978</v>
      </c>
      <c r="E42" s="10">
        <v>0.18796404845642831</v>
      </c>
      <c r="F42" s="10">
        <v>0.25498430008932482</v>
      </c>
      <c r="G42" s="10">
        <f t="shared" si="1"/>
        <v>-8.4793245600999665</v>
      </c>
      <c r="H42" s="10">
        <f t="shared" si="2"/>
        <v>1231.8098938130372</v>
      </c>
      <c r="I42" s="10">
        <f t="shared" si="4"/>
        <v>-8.4793245600999665</v>
      </c>
      <c r="J42" s="10">
        <f t="shared" si="3"/>
        <v>264.33076011837551</v>
      </c>
      <c r="K42" t="s">
        <v>38</v>
      </c>
    </row>
    <row r="43" spans="1:11" x14ac:dyDescent="0.3">
      <c r="A43" t="s">
        <v>12</v>
      </c>
      <c r="B43" s="10">
        <v>5.0000000000000001E-3</v>
      </c>
      <c r="C43" s="10">
        <v>0.21688159437280191</v>
      </c>
      <c r="D43" s="10">
        <v>0.30139782015832622</v>
      </c>
      <c r="E43" s="10">
        <v>0.21688159437280191</v>
      </c>
      <c r="F43" s="10">
        <v>0.24117115991536259</v>
      </c>
      <c r="G43" s="10">
        <f t="shared" si="1"/>
        <v>5.6007793537308181</v>
      </c>
      <c r="H43" s="10">
        <f t="shared" si="2"/>
        <v>614.54397114152084</v>
      </c>
      <c r="I43" s="10">
        <f t="shared" si="4"/>
        <v>5.6007793537308181</v>
      </c>
      <c r="J43" s="10">
        <f t="shared" si="3"/>
        <v>244.59404747591731</v>
      </c>
      <c r="K43" t="s">
        <v>39</v>
      </c>
    </row>
    <row r="44" spans="1:11" x14ac:dyDescent="0.3">
      <c r="A44" t="s">
        <v>13</v>
      </c>
      <c r="B44" s="10">
        <v>0.1</v>
      </c>
      <c r="C44" s="10">
        <v>0.2493161391168425</v>
      </c>
      <c r="D44" s="10">
        <v>0.40518112764540909</v>
      </c>
      <c r="E44" s="10">
        <v>0.2493161391168425</v>
      </c>
      <c r="F44" s="10">
        <v>0.2848379203908617</v>
      </c>
      <c r="G44" s="10">
        <f t="shared" si="1"/>
        <v>21.393328338162604</v>
      </c>
      <c r="H44" s="10">
        <f t="shared" si="2"/>
        <v>860.58999971288267</v>
      </c>
      <c r="I44" s="10">
        <f t="shared" si="4"/>
        <v>21.393328338162604</v>
      </c>
      <c r="J44" s="10">
        <f t="shared" si="3"/>
        <v>306.98668902432803</v>
      </c>
      <c r="K44" t="s">
        <v>42</v>
      </c>
    </row>
    <row r="45" spans="1:11" ht="15" thickBot="1" x14ac:dyDescent="0.35">
      <c r="A45" t="s">
        <v>14</v>
      </c>
      <c r="B45" s="10">
        <v>1</v>
      </c>
      <c r="C45" s="10">
        <v>0.26221180148495499</v>
      </c>
      <c r="D45" s="10">
        <v>0.28694031691838051</v>
      </c>
      <c r="E45" s="10">
        <v>0.26221180148495499</v>
      </c>
      <c r="F45" s="10">
        <v>0.26824245037744221</v>
      </c>
      <c r="G45" s="10">
        <f t="shared" si="1"/>
        <v>27.672293597033057</v>
      </c>
      <c r="H45" s="10">
        <f t="shared" si="2"/>
        <v>580.26860122532332</v>
      </c>
      <c r="I45" s="10">
        <f t="shared" si="4"/>
        <v>27.672293597033057</v>
      </c>
      <c r="J45" s="10">
        <f t="shared" si="3"/>
        <v>283.27448320462565</v>
      </c>
      <c r="K45" t="s">
        <v>43</v>
      </c>
    </row>
    <row r="46" spans="1:11" x14ac:dyDescent="0.3">
      <c r="A46" s="4" t="s">
        <v>15</v>
      </c>
      <c r="B46" s="11">
        <v>0.1</v>
      </c>
      <c r="C46" s="11">
        <v>0.24658069558421261</v>
      </c>
      <c r="D46" s="11">
        <v>0.25130262646125479</v>
      </c>
      <c r="E46" s="11">
        <v>0.24658069558421261</v>
      </c>
      <c r="F46" s="11">
        <v>0.24747994363864509</v>
      </c>
      <c r="G46" s="10">
        <f t="shared" si="1"/>
        <v>20.06142661658404</v>
      </c>
      <c r="H46" s="10">
        <f t="shared" si="2"/>
        <v>495.77994484363444</v>
      </c>
      <c r="I46" s="10">
        <f t="shared" si="4"/>
        <v>20.06142661658404</v>
      </c>
      <c r="J46" s="10">
        <f t="shared" si="3"/>
        <v>253.60826509057341</v>
      </c>
      <c r="K46" s="5" t="s">
        <v>41</v>
      </c>
    </row>
    <row r="47" spans="1:11" x14ac:dyDescent="0.3">
      <c r="A47" s="6" t="s">
        <v>16</v>
      </c>
      <c r="B47" s="13">
        <v>5.0000000000000001E-3</v>
      </c>
      <c r="C47" s="13">
        <v>0.2485345838218054</v>
      </c>
      <c r="D47" s="13">
        <v>0.25382797052907169</v>
      </c>
      <c r="E47" s="13">
        <v>0.2485345838218054</v>
      </c>
      <c r="F47" s="13">
        <v>0.24959752710867181</v>
      </c>
      <c r="G47" s="10">
        <f t="shared" si="1"/>
        <v>21.012784989140169</v>
      </c>
      <c r="H47" s="10">
        <f t="shared" si="2"/>
        <v>501.76694693199943</v>
      </c>
      <c r="I47" s="10">
        <f t="shared" si="4"/>
        <v>21.012784989140169</v>
      </c>
      <c r="J47" s="10">
        <f t="shared" si="3"/>
        <v>256.63394469115536</v>
      </c>
      <c r="K47" s="7"/>
    </row>
    <row r="48" spans="1:11" x14ac:dyDescent="0.3">
      <c r="A48" s="6" t="s">
        <v>17</v>
      </c>
      <c r="B48" s="13">
        <v>0.1</v>
      </c>
      <c r="C48" s="13">
        <v>0.24423602969910119</v>
      </c>
      <c r="D48" s="13">
        <v>0.27582841368993788</v>
      </c>
      <c r="E48" s="13">
        <v>0.24423602969910119</v>
      </c>
      <c r="F48" s="13">
        <v>0.25315810855697651</v>
      </c>
      <c r="G48" s="10">
        <f t="shared" si="1"/>
        <v>18.919796569516656</v>
      </c>
      <c r="H48" s="10">
        <f t="shared" si="2"/>
        <v>553.92486902573148</v>
      </c>
      <c r="I48" s="10">
        <f t="shared" si="4"/>
        <v>18.919796569516656</v>
      </c>
      <c r="J48" s="10">
        <f t="shared" si="3"/>
        <v>261.72143182298976</v>
      </c>
      <c r="K48" s="7"/>
    </row>
    <row r="49" spans="1:11" x14ac:dyDescent="0.3">
      <c r="A49" s="6" t="s">
        <v>18</v>
      </c>
      <c r="B49" s="13">
        <v>0.5</v>
      </c>
      <c r="C49" s="13">
        <v>0.24775302852676831</v>
      </c>
      <c r="D49" s="13">
        <v>0.28179601497048212</v>
      </c>
      <c r="E49" s="13">
        <v>0.24775302852676831</v>
      </c>
      <c r="F49" s="13">
        <v>0.25680240612893362</v>
      </c>
      <c r="G49" s="10">
        <f t="shared" si="1"/>
        <v>20.632241640117726</v>
      </c>
      <c r="H49" s="10">
        <f t="shared" si="2"/>
        <v>568.07266052252908</v>
      </c>
      <c r="I49" s="10">
        <f t="shared" si="4"/>
        <v>20.632241640117726</v>
      </c>
      <c r="J49" s="10">
        <f t="shared" si="3"/>
        <v>266.9285355702541</v>
      </c>
      <c r="K49" s="7"/>
    </row>
    <row r="50" spans="1:11" ht="15" thickBot="1" x14ac:dyDescent="0.35">
      <c r="A50" s="8" t="s">
        <v>18</v>
      </c>
      <c r="B50" s="12">
        <v>0.5</v>
      </c>
      <c r="C50" s="12">
        <v>0.25478702618210242</v>
      </c>
      <c r="D50" s="12">
        <v>0.29323810897047797</v>
      </c>
      <c r="E50" s="12">
        <v>0.25478702618210242</v>
      </c>
      <c r="F50" s="12">
        <v>0.26501608064823828</v>
      </c>
      <c r="G50" s="10">
        <f t="shared" si="1"/>
        <v>24.057131781319804</v>
      </c>
      <c r="H50" s="10">
        <f t="shared" si="2"/>
        <v>595.1991980689412</v>
      </c>
      <c r="I50" s="10">
        <f t="shared" si="4"/>
        <v>24.057131781319804</v>
      </c>
      <c r="J50" s="10">
        <f t="shared" si="3"/>
        <v>278.66452982533127</v>
      </c>
      <c r="K50" s="9"/>
    </row>
    <row r="51" spans="1:11" ht="15" thickBot="1" x14ac:dyDescent="0.35">
      <c r="A51" t="s">
        <v>19</v>
      </c>
      <c r="B51" s="10">
        <v>10</v>
      </c>
      <c r="C51" s="10">
        <v>0.25908558030480661</v>
      </c>
      <c r="D51" s="10">
        <v>0.28473227422048958</v>
      </c>
      <c r="E51" s="10">
        <v>0.25908558030480661</v>
      </c>
      <c r="F51" s="10">
        <v>0.26480893284966611</v>
      </c>
      <c r="G51" s="10">
        <f t="shared" si="1"/>
        <v>26.150120200943299</v>
      </c>
      <c r="H51" s="10">
        <f t="shared" si="2"/>
        <v>575.03384671723745</v>
      </c>
      <c r="I51" s="10">
        <f t="shared" si="4"/>
        <v>26.150120200943299</v>
      </c>
      <c r="J51" s="10">
        <f t="shared" si="3"/>
        <v>278.36854958308027</v>
      </c>
    </row>
    <row r="52" spans="1:11" x14ac:dyDescent="0.3">
      <c r="A52" s="4" t="s">
        <v>20</v>
      </c>
      <c r="B52" s="11">
        <v>5</v>
      </c>
      <c r="C52" s="11">
        <v>0.2575224697147323</v>
      </c>
      <c r="D52" s="11">
        <v>0.27163267931131713</v>
      </c>
      <c r="E52" s="11">
        <v>0.2575224697147323</v>
      </c>
      <c r="F52" s="11">
        <v>0.26057880156646118</v>
      </c>
      <c r="G52" s="10">
        <f t="shared" si="1"/>
        <v>25.389033502898368</v>
      </c>
      <c r="H52" s="10">
        <f t="shared" si="2"/>
        <v>543.97776090404773</v>
      </c>
      <c r="I52" s="10">
        <f t="shared" si="4"/>
        <v>25.389033502898368</v>
      </c>
      <c r="J52" s="10">
        <f t="shared" si="3"/>
        <v>272.32438550995624</v>
      </c>
      <c r="K52" s="5" t="s">
        <v>40</v>
      </c>
    </row>
    <row r="53" spans="1:11" x14ac:dyDescent="0.3">
      <c r="A53" s="6" t="s">
        <v>21</v>
      </c>
      <c r="B53" s="13">
        <v>10</v>
      </c>
      <c r="C53" s="13">
        <v>0.23338545738858479</v>
      </c>
      <c r="D53" s="13">
        <v>0.38418133486706579</v>
      </c>
      <c r="E53" s="13">
        <v>0.23338545738858479</v>
      </c>
      <c r="F53" s="13">
        <v>0.26408025433755411</v>
      </c>
      <c r="G53" s="10">
        <f t="shared" si="1"/>
        <v>13.636596324986197</v>
      </c>
      <c r="H53" s="10">
        <f t="shared" si="2"/>
        <v>810.80438640916316</v>
      </c>
      <c r="I53" s="10">
        <f t="shared" si="4"/>
        <v>13.636596324986197</v>
      </c>
      <c r="J53" s="10">
        <f t="shared" si="3"/>
        <v>277.32738745620935</v>
      </c>
      <c r="K53" s="7"/>
    </row>
    <row r="54" spans="1:11" x14ac:dyDescent="0.3">
      <c r="A54" s="6" t="s">
        <v>22</v>
      </c>
      <c r="B54" s="13">
        <v>5</v>
      </c>
      <c r="C54" s="13">
        <v>0.2361219702892885</v>
      </c>
      <c r="D54" s="13">
        <v>0.35186546643360389</v>
      </c>
      <c r="E54" s="13">
        <v>0.2361219702892885</v>
      </c>
      <c r="F54" s="13">
        <v>0.26015490745105602</v>
      </c>
      <c r="G54" s="10">
        <f t="shared" si="1"/>
        <v>14.969018727456737</v>
      </c>
      <c r="H54" s="10">
        <f t="shared" si="2"/>
        <v>734.19099567792671</v>
      </c>
      <c r="I54" s="10">
        <f t="shared" si="4"/>
        <v>14.969018727456737</v>
      </c>
      <c r="J54" s="10">
        <f t="shared" si="3"/>
        <v>271.71871031653774</v>
      </c>
      <c r="K54" s="7"/>
    </row>
    <row r="55" spans="1:11" x14ac:dyDescent="0.3">
      <c r="A55" s="6" t="s">
        <v>23</v>
      </c>
      <c r="B55" s="13">
        <v>5.0000000000000001E-3</v>
      </c>
      <c r="C55" s="13">
        <v>0.22165754495699769</v>
      </c>
      <c r="D55" s="13">
        <v>0.26884664629895111</v>
      </c>
      <c r="E55" s="13">
        <v>0.22165754495699769</v>
      </c>
      <c r="F55" s="13">
        <v>0.23258243677847781</v>
      </c>
      <c r="G55" s="10">
        <f t="shared" si="1"/>
        <v>7.9262146001125524</v>
      </c>
      <c r="H55" s="10">
        <f t="shared" si="2"/>
        <v>537.37272609874731</v>
      </c>
      <c r="I55" s="10">
        <f t="shared" si="4"/>
        <v>7.9262146001125524</v>
      </c>
      <c r="J55" s="10">
        <f t="shared" si="3"/>
        <v>232.32217023558792</v>
      </c>
      <c r="K55" s="7"/>
    </row>
    <row r="56" spans="1:11" x14ac:dyDescent="0.3">
      <c r="A56" s="6" t="s">
        <v>23</v>
      </c>
      <c r="B56" s="13">
        <v>5.0000000000000001E-3</v>
      </c>
      <c r="C56" s="13">
        <v>0.22165754495699769</v>
      </c>
      <c r="D56" s="13">
        <v>0.26884664629895111</v>
      </c>
      <c r="E56" s="13">
        <v>0.22165754495699769</v>
      </c>
      <c r="F56" s="13">
        <v>0.23258243677847781</v>
      </c>
      <c r="G56" s="10">
        <f t="shared" si="1"/>
        <v>7.9262146001125524</v>
      </c>
      <c r="H56" s="10">
        <f t="shared" si="2"/>
        <v>537.37272609874731</v>
      </c>
      <c r="I56" s="10">
        <f t="shared" si="4"/>
        <v>7.9262146001125524</v>
      </c>
      <c r="J56" s="10">
        <f t="shared" si="3"/>
        <v>232.32217023558792</v>
      </c>
      <c r="K56" s="7"/>
    </row>
    <row r="57" spans="1:11" x14ac:dyDescent="0.3">
      <c r="A57" s="6" t="s">
        <v>23</v>
      </c>
      <c r="B57" s="13">
        <v>5.0000000000000001E-3</v>
      </c>
      <c r="C57" s="13">
        <v>0.22165754495699769</v>
      </c>
      <c r="D57" s="13">
        <v>0.26884664629895111</v>
      </c>
      <c r="E57" s="13">
        <v>0.22165754495699769</v>
      </c>
      <c r="F57" s="13">
        <v>0.23258243677847781</v>
      </c>
      <c r="G57" s="10">
        <f t="shared" si="1"/>
        <v>7.9262146001125524</v>
      </c>
      <c r="H57" s="10">
        <f t="shared" si="2"/>
        <v>537.37272609874731</v>
      </c>
      <c r="I57" s="10">
        <f t="shared" si="4"/>
        <v>7.9262146001125524</v>
      </c>
      <c r="J57" s="10">
        <f t="shared" si="3"/>
        <v>232.32217023558792</v>
      </c>
      <c r="K57" s="7"/>
    </row>
    <row r="58" spans="1:11" x14ac:dyDescent="0.3">
      <c r="A58" s="6" t="s">
        <v>24</v>
      </c>
      <c r="B58" s="13">
        <v>10</v>
      </c>
      <c r="C58" s="13">
        <v>0.23025801407349489</v>
      </c>
      <c r="D58" s="13">
        <v>0.39038201440544418</v>
      </c>
      <c r="E58" s="13">
        <v>0.23025801407349489</v>
      </c>
      <c r="F58" s="13">
        <v>0.26363678188889039</v>
      </c>
      <c r="G58" s="10">
        <f t="shared" si="1"/>
        <v>12.113827865019887</v>
      </c>
      <c r="H58" s="10">
        <f t="shared" si="2"/>
        <v>825.5047521211693</v>
      </c>
      <c r="I58" s="10">
        <f t="shared" si="4"/>
        <v>12.113827865019887</v>
      </c>
      <c r="J58" s="10">
        <f t="shared" si="3"/>
        <v>276.69373803443472</v>
      </c>
      <c r="K58" s="7"/>
    </row>
    <row r="59" spans="1:11" x14ac:dyDescent="0.3">
      <c r="A59" s="6" t="s">
        <v>25</v>
      </c>
      <c r="B59" s="13">
        <v>10</v>
      </c>
      <c r="C59" s="13">
        <v>0.23103987490226741</v>
      </c>
      <c r="D59" s="13">
        <v>0.38567245664578098</v>
      </c>
      <c r="E59" s="13">
        <v>0.23103987490226741</v>
      </c>
      <c r="F59" s="13">
        <v>0.26259273696153052</v>
      </c>
      <c r="G59" s="10">
        <f t="shared" si="1"/>
        <v>12.494519980011482</v>
      </c>
      <c r="H59" s="10">
        <f t="shared" si="2"/>
        <v>814.33948854314349</v>
      </c>
      <c r="I59" s="10">
        <f t="shared" si="4"/>
        <v>12.494519980011482</v>
      </c>
      <c r="J59" s="10">
        <f t="shared" si="3"/>
        <v>275.20196900453948</v>
      </c>
      <c r="K59" s="7"/>
    </row>
    <row r="60" spans="1:11" ht="15" thickBot="1" x14ac:dyDescent="0.35">
      <c r="A60" s="8" t="s">
        <v>26</v>
      </c>
      <c r="B60" s="12">
        <v>10</v>
      </c>
      <c r="C60" s="12">
        <v>0.23103987490226741</v>
      </c>
      <c r="D60" s="12">
        <v>0.39055928967077569</v>
      </c>
      <c r="E60" s="12">
        <v>0.23103987490226741</v>
      </c>
      <c r="F60" s="12">
        <v>0.26481132039725791</v>
      </c>
      <c r="G60" s="10">
        <f t="shared" si="1"/>
        <v>12.494519980011482</v>
      </c>
      <c r="H60" s="10">
        <f t="shared" si="2"/>
        <v>825.92503044968748</v>
      </c>
      <c r="I60" s="10">
        <f t="shared" si="4"/>
        <v>12.494519980011482</v>
      </c>
      <c r="J60" s="10">
        <f t="shared" si="3"/>
        <v>278.37196099715021</v>
      </c>
      <c r="K60" s="9"/>
    </row>
  </sheetData>
  <conditionalFormatting sqref="G26:J60">
    <cfRule type="colorScale" priority="3">
      <colorScale>
        <cfvo type="min"/>
        <cfvo type="max"/>
        <color rgb="FFFFEF9C"/>
        <color rgb="FF63BE7B"/>
      </colorScale>
    </cfRule>
  </conditionalFormatting>
  <conditionalFormatting sqref="G5:J5">
    <cfRule type="colorScale" priority="1">
      <colorScale>
        <cfvo type="min"/>
        <cfvo type="max"/>
        <color rgb="FFFFEF9C"/>
        <color rgb="FF63BE7B"/>
      </colorScale>
    </cfRule>
  </conditionalFormatting>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Ivanov</cp:lastModifiedBy>
  <dcterms:created xsi:type="dcterms:W3CDTF">2026-02-08T19:54:13Z</dcterms:created>
  <dcterms:modified xsi:type="dcterms:W3CDTF">2026-02-12T13:03:46Z</dcterms:modified>
</cp:coreProperties>
</file>