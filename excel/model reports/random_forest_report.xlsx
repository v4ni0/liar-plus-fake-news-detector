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L\Fake News Detection\excel\model reports\"/>
    </mc:Choice>
  </mc:AlternateContent>
  <xr:revisionPtr revIDLastSave="0" documentId="13_ncr:1_{83A0654A-3CB6-44AE-BA61-64D5504D22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H2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K25" i="1"/>
  <c r="J25" i="1"/>
  <c r="I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25" i="1"/>
</calcChain>
</file>

<file path=xl/sharedStrings.xml><?xml version="1.0" encoding="utf-8"?>
<sst xmlns="http://schemas.openxmlformats.org/spreadsheetml/2006/main" count="59" uniqueCount="45">
  <si>
    <t>model</t>
  </si>
  <si>
    <t>n_estimators</t>
  </si>
  <si>
    <t>max_features</t>
  </si>
  <si>
    <t>accuracy</t>
  </si>
  <si>
    <t>precision</t>
  </si>
  <si>
    <t>recall</t>
  </si>
  <si>
    <t>f1</t>
  </si>
  <si>
    <t>Baseline(predicting the most common class)</t>
  </si>
  <si>
    <t>sqrt</t>
  </si>
  <si>
    <t>Comments</t>
  </si>
  <si>
    <t>Baseline model(most common class)</t>
  </si>
  <si>
    <t>First model , using all cat and numeric features</t>
  </si>
  <si>
    <t>Trying to remove the state_category, but got lower results</t>
  </si>
  <si>
    <t>This experiment was conducted to see what happens if we remove the cat columns, seems like they are important for this model</t>
  </si>
  <si>
    <t>Here was tried to remove one of the numeric initial columns, because they are correlated, seems like it has positive impact</t>
  </si>
  <si>
    <t>Here another num column was removed(barely_true), but there is a significant decrease in the scoring metrics</t>
  </si>
  <si>
    <t>This experiment tried to add the statement column, using Tfidf vectorizer, but definitely not successful</t>
  </si>
  <si>
    <t>This tried to improve the previous model by removing stopwords and with slight more success</t>
  </si>
  <si>
    <t>RandomForest 1</t>
  </si>
  <si>
    <t>RandomForest 2</t>
  </si>
  <si>
    <t>RandomForest 3</t>
  </si>
  <si>
    <t>RandomForest 4</t>
  </si>
  <si>
    <t>RandomForest 5</t>
  </si>
  <si>
    <t>RandomForest 6</t>
  </si>
  <si>
    <t>RandomForest 7</t>
  </si>
  <si>
    <t>RandomForest 8</t>
  </si>
  <si>
    <t>RandomForest 9</t>
  </si>
  <si>
    <t>RandomForest 10</t>
  </si>
  <si>
    <t>RandomForest11</t>
  </si>
  <si>
    <t>RandomForest 12</t>
  </si>
  <si>
    <t>RandomForest 14</t>
  </si>
  <si>
    <t>From now on we tried to improve the best model we have until now(Random forest 4), we tried CountVectorizer with removing stopwords, but wasn’t really successful</t>
  </si>
  <si>
    <t>Same as previous experiment, but with tfidf vectorizer and using ngram_range = (1,2)</t>
  </si>
  <si>
    <t>We tried limiting the words, slightly better, but not good enough</t>
  </si>
  <si>
    <t>Here the words were limited to 20, but as we can see it lowers scores</t>
  </si>
  <si>
    <t xml:space="preserve">This is just as Random Forest 4, but using imputer that replacec Nans with 0 and this is actually the best model </t>
  </si>
  <si>
    <t>The best model makes the best of the meta data and some useful features extracted from the text, but doesn’t actually use the text column</t>
  </si>
  <si>
    <t>It uses 0 imputer for empty values</t>
  </si>
  <si>
    <t>It looks to make very good separation between different classes</t>
  </si>
  <si>
    <t>accuracy increase</t>
  </si>
  <si>
    <t>precision increase</t>
  </si>
  <si>
    <t>recall increase</t>
  </si>
  <si>
    <t>f1 increase</t>
  </si>
  <si>
    <t>This model ony uses the statement column and tfidf vectorizer, using this column alone is clearly not enough, which was seen in experiments with naïve bayes</t>
  </si>
  <si>
    <t>From the roc curve we can see that the model actually  makes a very good predction, having in mind that the task is for 6-classification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</si>
</sst>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0" fontId="0" fillId="2" borderId="4" xfId="0" applyFont="1" applyFill="1" applyBorder="1"/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164" fontId="0" fillId="2" borderId="4" xfId="0" applyNumberFormat="1" applyFont="1" applyFill="1" applyBorder="1"/>
  </cellXfs>
  <cellStyles count="1">
    <cellStyle name="Normal" xfId="0" builtinId="0"/>
  </cellStyles>
  <dxfs count="9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33591</xdr:colOff>
      <xdr:row>0</xdr:row>
      <xdr:rowOff>0</xdr:rowOff>
    </xdr:from>
    <xdr:to>
      <xdr:col>11</xdr:col>
      <xdr:colOff>4038259</xdr:colOff>
      <xdr:row>18</xdr:row>
      <xdr:rowOff>112078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277128-DF4A-CFBF-E78F-60E04A345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58151" y="0"/>
          <a:ext cx="4004668" cy="3403918"/>
        </a:xfrm>
        <a:prstGeom prst="rect">
          <a:avLst/>
        </a:prstGeom>
      </xdr:spPr>
    </xdr:pic>
    <xdr:clientData/>
  </xdr:twoCellAnchor>
  <xdr:twoCellAnchor editAs="oneCell">
    <xdr:from>
      <xdr:col>12</xdr:col>
      <xdr:colOff>135506</xdr:colOff>
      <xdr:row>0</xdr:row>
      <xdr:rowOff>0</xdr:rowOff>
    </xdr:from>
    <xdr:to>
      <xdr:col>31</xdr:col>
      <xdr:colOff>463949</xdr:colOff>
      <xdr:row>54</xdr:row>
      <xdr:rowOff>130097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F9AC0C-DBE6-8A4F-93F3-E3E935B44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71756" y="0"/>
          <a:ext cx="12091818" cy="10417097"/>
        </a:xfrm>
        <a:prstGeom prst="rect">
          <a:avLst/>
        </a:prstGeom>
      </xdr:spPr>
    </xdr:pic>
    <xdr:clientData/>
  </xdr:twoCellAnchor>
  <xdr:twoCellAnchor editAs="oneCell">
    <xdr:from>
      <xdr:col>11</xdr:col>
      <xdr:colOff>3999307</xdr:colOff>
      <xdr:row>0</xdr:row>
      <xdr:rowOff>0</xdr:rowOff>
    </xdr:from>
    <xdr:to>
      <xdr:col>12</xdr:col>
      <xdr:colOff>153554</xdr:colOff>
      <xdr:row>21</xdr:row>
      <xdr:rowOff>155510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84EDEA-1728-4324-411A-69C8F2636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23867" y="0"/>
          <a:ext cx="5836727" cy="399599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49E23A-8FA3-425D-AB32-947E578AD904}" name="Table1" displayName="Table1" ref="A24:L38" totalsRowShown="0" headerRowDxfId="8">
  <autoFilter ref="A24:L38" xr:uid="{1449E23A-8FA3-425D-AB32-947E578AD904}"/>
  <tableColumns count="12">
    <tableColumn id="1" xr3:uid="{80B330A5-AF42-423C-8BE1-2D8A4F8C51D3}" name="model"/>
    <tableColumn id="2" xr3:uid="{0E4B823A-DB11-4F67-BF5C-8139ADE457EE}" name="n_estimators"/>
    <tableColumn id="3" xr3:uid="{D12C19DC-7AF2-48CD-9FCC-0FA624721787}" name="max_features"/>
    <tableColumn id="4" xr3:uid="{9CA9B644-97DF-40DD-9425-7F94435D86D4}" name="accuracy" dataDxfId="7"/>
    <tableColumn id="5" xr3:uid="{E67B7C50-A066-4AA0-8A60-13D046EE1AE7}" name="precision" dataDxfId="6"/>
    <tableColumn id="6" xr3:uid="{B1A22A83-8289-4BCA-B4DE-C0BFF995BBEE}" name="recall" dataDxfId="5"/>
    <tableColumn id="7" xr3:uid="{BEA1B8B1-33F4-44D0-9C92-C53A7F540A71}" name="f1" dataDxfId="4"/>
    <tableColumn id="8" xr3:uid="{F3DC4289-B499-429A-94DA-B5E8BD7378CD}" name="accuracy increase" dataDxfId="3">
      <calculatedColumnFormula>100*(D25-$D$25)/$D$25</calculatedColumnFormula>
    </tableColumn>
    <tableColumn id="9" xr3:uid="{464E8160-B9F8-4CB7-A8EB-5C4031EDB627}" name="precision increase" dataDxfId="2">
      <calculatedColumnFormula>100*(E25-$E$25)/$E$25</calculatedColumnFormula>
    </tableColumn>
    <tableColumn id="10" xr3:uid="{D08F8DFD-1E18-467F-909D-7E1F4D2B0FA5}" name="recall increase" dataDxfId="1">
      <calculatedColumnFormula>100*(F25-$F$25)/$F$25</calculatedColumnFormula>
    </tableColumn>
    <tableColumn id="11" xr3:uid="{539770A3-0E82-4E81-82DB-CD87FCC4A9FC}" name="f1 increase" dataDxfId="0">
      <calculatedColumnFormula>100*(G25-$G$25)/$G$25</calculatedColumnFormula>
    </tableColumn>
    <tableColumn id="12" xr3:uid="{16E30C14-86D5-4F7D-A4EA-97A014209EFA}" name="Comments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zoomScale="75" workbookViewId="0">
      <selection activeCell="F10" sqref="F10"/>
    </sheetView>
  </sheetViews>
  <sheetFormatPr defaultRowHeight="14.4" x14ac:dyDescent="0.3"/>
  <cols>
    <col min="1" max="1" width="33.33203125" customWidth="1"/>
    <col min="2" max="2" width="14.109375" customWidth="1"/>
    <col min="3" max="3" width="14.6640625" customWidth="1"/>
    <col min="4" max="7" width="12.44140625" bestFit="1" customWidth="1"/>
    <col min="8" max="8" width="26.33203125" customWidth="1"/>
    <col min="9" max="9" width="22.88671875" customWidth="1"/>
    <col min="10" max="10" width="15.109375" customWidth="1"/>
    <col min="11" max="11" width="22.33203125" customWidth="1"/>
    <col min="12" max="12" width="141.21875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39</v>
      </c>
      <c r="I1" s="6" t="s">
        <v>40</v>
      </c>
      <c r="J1" s="6" t="s">
        <v>41</v>
      </c>
      <c r="K1" s="6" t="s">
        <v>42</v>
      </c>
    </row>
    <row r="2" spans="1:11" x14ac:dyDescent="0.3">
      <c r="A2" s="4" t="s">
        <v>30</v>
      </c>
      <c r="B2" s="4">
        <v>200</v>
      </c>
      <c r="C2" s="4"/>
      <c r="D2" s="7">
        <v>0.62115232833464873</v>
      </c>
      <c r="E2" s="7">
        <v>0.6319142962063784</v>
      </c>
      <c r="F2" s="7">
        <v>0.62115232833464873</v>
      </c>
      <c r="G2" s="7">
        <v>0.61840501687730898</v>
      </c>
      <c r="H2" s="7">
        <f t="shared" ref="H2" si="0">100*(D2-$D$25)/$D$25</f>
        <v>202.44230802164029</v>
      </c>
      <c r="I2" s="7">
        <f t="shared" ref="I2" si="1">100*(E2-$E$25)/$E$25</f>
        <v>1398.1214873923541</v>
      </c>
      <c r="J2" s="7">
        <f t="shared" ref="J2" si="2">100*(F2-$F$25)/$F$25</f>
        <v>202.44230802164029</v>
      </c>
      <c r="K2" s="7">
        <f t="shared" ref="K2" si="3">100*(G2-$G$25)/$G$25</f>
        <v>783.59938153446888</v>
      </c>
    </row>
    <row r="3" spans="1:11" x14ac:dyDescent="0.3">
      <c r="A3" t="s">
        <v>30</v>
      </c>
      <c r="B3">
        <v>200</v>
      </c>
      <c r="D3" s="3">
        <v>0.62115232833464873</v>
      </c>
      <c r="E3" s="3">
        <v>0.6319142962063784</v>
      </c>
      <c r="F3" s="3">
        <v>0.62115232833464873</v>
      </c>
      <c r="G3" s="3">
        <v>0.61840501687730898</v>
      </c>
    </row>
    <row r="4" spans="1:11" x14ac:dyDescent="0.3">
      <c r="A4" t="s">
        <v>36</v>
      </c>
    </row>
    <row r="5" spans="1:11" x14ac:dyDescent="0.3">
      <c r="A5" t="s">
        <v>37</v>
      </c>
    </row>
    <row r="6" spans="1:11" x14ac:dyDescent="0.3">
      <c r="A6" t="s">
        <v>38</v>
      </c>
    </row>
    <row r="7" spans="1:11" x14ac:dyDescent="0.3">
      <c r="A7" t="s">
        <v>44</v>
      </c>
    </row>
    <row r="24" spans="1:12" x14ac:dyDescent="0.3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2" t="s">
        <v>39</v>
      </c>
      <c r="I24" s="2" t="s">
        <v>40</v>
      </c>
      <c r="J24" s="2" t="s">
        <v>41</v>
      </c>
      <c r="K24" s="2" t="s">
        <v>42</v>
      </c>
      <c r="L24" t="s">
        <v>9</v>
      </c>
    </row>
    <row r="25" spans="1:12" x14ac:dyDescent="0.3">
      <c r="A25" t="s">
        <v>7</v>
      </c>
      <c r="D25" s="3">
        <v>0.20537878195606291</v>
      </c>
      <c r="E25" s="3">
        <v>4.2180444077756007E-2</v>
      </c>
      <c r="F25" s="3">
        <v>0.20537878195606291</v>
      </c>
      <c r="G25" s="3">
        <v>6.9987035957786631E-2</v>
      </c>
      <c r="H25" s="3">
        <f>100*(D25-$D$25)/$D$25</f>
        <v>0</v>
      </c>
      <c r="I25" s="3">
        <f>100*(E25-$E$25)/$E$25</f>
        <v>0</v>
      </c>
      <c r="J25" s="3">
        <f>100*(F25-$F$25)/$F$25</f>
        <v>0</v>
      </c>
      <c r="K25" s="3">
        <f>100*(G25-$G$25)/$G$25</f>
        <v>0</v>
      </c>
      <c r="L25" t="s">
        <v>10</v>
      </c>
    </row>
    <row r="26" spans="1:12" x14ac:dyDescent="0.3">
      <c r="A26" t="s">
        <v>18</v>
      </c>
      <c r="B26">
        <v>400</v>
      </c>
      <c r="D26" s="3">
        <v>0.62036306235201266</v>
      </c>
      <c r="E26" s="3">
        <v>0.62853334068664646</v>
      </c>
      <c r="F26" s="3">
        <v>0.62036306235201266</v>
      </c>
      <c r="G26" s="3">
        <v>0.61714699955452545</v>
      </c>
      <c r="H26" s="3">
        <f t="shared" ref="H26:H38" si="4">100*(D26-$D$25)/$D$25</f>
        <v>202.05801029861408</v>
      </c>
      <c r="I26" s="3">
        <f t="shared" ref="I26:I38" si="5">100*(E26-$E$25)/$E$25</f>
        <v>1390.1060300076488</v>
      </c>
      <c r="J26" s="3">
        <f t="shared" ref="J26:J38" si="6">100*(F26-$F$25)/$F$25</f>
        <v>202.05801029861408</v>
      </c>
      <c r="K26" s="3">
        <f t="shared" ref="K26:K38" si="7">100*(G26-$G$25)/$G$25</f>
        <v>781.80188103231535</v>
      </c>
      <c r="L26" t="s">
        <v>11</v>
      </c>
    </row>
    <row r="27" spans="1:12" x14ac:dyDescent="0.3">
      <c r="A27" t="s">
        <v>19</v>
      </c>
      <c r="B27">
        <v>300</v>
      </c>
      <c r="D27" s="3">
        <v>0.61483820047355964</v>
      </c>
      <c r="E27" s="3">
        <v>0.62178933396207614</v>
      </c>
      <c r="F27" s="3">
        <v>0.61483820047355964</v>
      </c>
      <c r="G27" s="3">
        <v>0.61124038678164905</v>
      </c>
      <c r="H27" s="3">
        <f t="shared" si="4"/>
        <v>199.36792623743051</v>
      </c>
      <c r="I27" s="3">
        <f t="shared" si="5"/>
        <v>1374.1175621950806</v>
      </c>
      <c r="J27" s="3">
        <f t="shared" si="6"/>
        <v>199.36792623743051</v>
      </c>
      <c r="K27" s="3">
        <f t="shared" si="7"/>
        <v>773.36229976980974</v>
      </c>
      <c r="L27" t="s">
        <v>12</v>
      </c>
    </row>
    <row r="28" spans="1:12" x14ac:dyDescent="0.3">
      <c r="A28" t="s">
        <v>20</v>
      </c>
      <c r="B28">
        <v>200</v>
      </c>
      <c r="D28" s="3">
        <v>0.60852407261247043</v>
      </c>
      <c r="E28" s="3">
        <v>0.61857966229077921</v>
      </c>
      <c r="F28" s="3">
        <v>0.60852407261247043</v>
      </c>
      <c r="G28" s="3">
        <v>0.60558760451115456</v>
      </c>
      <c r="H28" s="3">
        <f t="shared" si="4"/>
        <v>196.2935444532207</v>
      </c>
      <c r="I28" s="3">
        <f t="shared" si="5"/>
        <v>1366.5081788861232</v>
      </c>
      <c r="J28" s="3">
        <f t="shared" si="6"/>
        <v>196.2935444532207</v>
      </c>
      <c r="K28" s="3">
        <f t="shared" si="7"/>
        <v>765.28540067966389</v>
      </c>
      <c r="L28" t="s">
        <v>13</v>
      </c>
    </row>
    <row r="29" spans="1:12" x14ac:dyDescent="0.3">
      <c r="A29" t="s">
        <v>21</v>
      </c>
      <c r="B29">
        <v>200</v>
      </c>
      <c r="D29" s="3">
        <v>0.62194159431728491</v>
      </c>
      <c r="E29" s="3">
        <v>0.63022973201874177</v>
      </c>
      <c r="F29" s="3">
        <v>0.62194159431728491</v>
      </c>
      <c r="G29" s="3">
        <v>0.61813313304265494</v>
      </c>
      <c r="H29" s="3">
        <f t="shared" si="4"/>
        <v>202.82660574466649</v>
      </c>
      <c r="I29" s="3">
        <f t="shared" si="5"/>
        <v>1394.1277784012129</v>
      </c>
      <c r="J29" s="3">
        <f t="shared" si="6"/>
        <v>202.82660574466649</v>
      </c>
      <c r="K29" s="3">
        <f t="shared" si="7"/>
        <v>783.21090411013836</v>
      </c>
      <c r="L29" t="s">
        <v>14</v>
      </c>
    </row>
    <row r="30" spans="1:12" x14ac:dyDescent="0.3">
      <c r="A30" t="s">
        <v>22</v>
      </c>
      <c r="B30">
        <v>100</v>
      </c>
      <c r="D30" s="3">
        <v>0.60220994475138123</v>
      </c>
      <c r="E30" s="3">
        <v>0.61498663550433197</v>
      </c>
      <c r="F30" s="3">
        <v>0.60220994475138123</v>
      </c>
      <c r="G30" s="3">
        <v>0.5986334187694361</v>
      </c>
      <c r="H30" s="3">
        <f t="shared" si="4"/>
        <v>193.21916266901087</v>
      </c>
      <c r="I30" s="3">
        <f t="shared" si="5"/>
        <v>1357.9899499651005</v>
      </c>
      <c r="J30" s="3">
        <f t="shared" si="6"/>
        <v>193.21916266901087</v>
      </c>
      <c r="K30" s="3">
        <f t="shared" si="7"/>
        <v>755.34900939440797</v>
      </c>
      <c r="L30" t="s">
        <v>15</v>
      </c>
    </row>
    <row r="31" spans="1:12" x14ac:dyDescent="0.3">
      <c r="A31" t="s">
        <v>23</v>
      </c>
      <c r="B31">
        <v>400</v>
      </c>
      <c r="D31" s="3">
        <v>0.56511444356748219</v>
      </c>
      <c r="E31" s="3">
        <v>0.58976452490124676</v>
      </c>
      <c r="F31" s="3">
        <v>0.56511444356748219</v>
      </c>
      <c r="G31" s="3">
        <v>0.56130973528458705</v>
      </c>
      <c r="H31" s="3">
        <f t="shared" si="4"/>
        <v>175.15716968677819</v>
      </c>
      <c r="I31" s="3">
        <f t="shared" si="5"/>
        <v>1298.1942053859527</v>
      </c>
      <c r="J31" s="3">
        <f t="shared" si="6"/>
        <v>175.15716968677819</v>
      </c>
      <c r="K31" s="3">
        <f t="shared" si="7"/>
        <v>702.01958491733603</v>
      </c>
      <c r="L31" t="s">
        <v>16</v>
      </c>
    </row>
    <row r="32" spans="1:12" x14ac:dyDescent="0.3">
      <c r="A32" t="s">
        <v>24</v>
      </c>
      <c r="B32">
        <v>400</v>
      </c>
      <c r="C32" t="s">
        <v>8</v>
      </c>
      <c r="D32" s="3">
        <v>0.25808997632202052</v>
      </c>
      <c r="E32" s="3">
        <v>0.2981772209998142</v>
      </c>
      <c r="F32" s="3">
        <v>0.25808997632202052</v>
      </c>
      <c r="G32" s="3">
        <v>0.2377889904426741</v>
      </c>
      <c r="H32" s="3">
        <f t="shared" si="4"/>
        <v>25.665355429576081</v>
      </c>
      <c r="I32" s="3">
        <f t="shared" si="5"/>
        <v>606.90868130774118</v>
      </c>
      <c r="J32" s="3">
        <f t="shared" si="6"/>
        <v>25.665355429576081</v>
      </c>
      <c r="K32" s="3">
        <f t="shared" si="7"/>
        <v>239.76148180657182</v>
      </c>
      <c r="L32" t="s">
        <v>43</v>
      </c>
    </row>
    <row r="33" spans="1:12" x14ac:dyDescent="0.3">
      <c r="A33" t="s">
        <v>25</v>
      </c>
      <c r="B33">
        <v>200</v>
      </c>
      <c r="C33" t="s">
        <v>8</v>
      </c>
      <c r="D33" s="3">
        <v>0.26361483820047349</v>
      </c>
      <c r="E33" s="3">
        <v>0.26416335636110527</v>
      </c>
      <c r="F33" s="3">
        <v>0.26361483820047349</v>
      </c>
      <c r="G33" s="3">
        <v>0.24940852745111811</v>
      </c>
      <c r="H33" s="3">
        <f t="shared" si="4"/>
        <v>28.355439490759636</v>
      </c>
      <c r="I33" s="3">
        <f t="shared" si="5"/>
        <v>526.26973740281858</v>
      </c>
      <c r="J33" s="3">
        <f t="shared" si="6"/>
        <v>28.355439490759636</v>
      </c>
      <c r="K33" s="3">
        <f t="shared" si="7"/>
        <v>256.36389516702968</v>
      </c>
      <c r="L33" t="s">
        <v>17</v>
      </c>
    </row>
    <row r="34" spans="1:12" x14ac:dyDescent="0.3">
      <c r="A34" t="s">
        <v>26</v>
      </c>
      <c r="B34">
        <v>200</v>
      </c>
      <c r="D34" s="3">
        <v>0.60694554064719808</v>
      </c>
      <c r="E34" s="3">
        <v>0.62420097892687643</v>
      </c>
      <c r="F34" s="3">
        <v>0.60694554064719808</v>
      </c>
      <c r="G34" s="3">
        <v>0.60319595085138933</v>
      </c>
      <c r="H34" s="3">
        <f t="shared" si="4"/>
        <v>195.52494900716823</v>
      </c>
      <c r="I34" s="3">
        <f t="shared" si="5"/>
        <v>1379.8350102151978</v>
      </c>
      <c r="J34" s="3">
        <f t="shared" si="6"/>
        <v>195.52494900716823</v>
      </c>
      <c r="K34" s="3">
        <f t="shared" si="7"/>
        <v>761.86811971178895</v>
      </c>
      <c r="L34" t="s">
        <v>31</v>
      </c>
    </row>
    <row r="35" spans="1:12" x14ac:dyDescent="0.3">
      <c r="A35" t="s">
        <v>27</v>
      </c>
      <c r="B35">
        <v>200</v>
      </c>
      <c r="D35" s="3">
        <v>0.58958168902920283</v>
      </c>
      <c r="E35" s="3">
        <v>0.60853829650396896</v>
      </c>
      <c r="F35" s="3">
        <v>0.58958168902920283</v>
      </c>
      <c r="G35" s="3">
        <v>0.58648521741072734</v>
      </c>
      <c r="H35" s="3">
        <f t="shared" si="4"/>
        <v>187.07039910059123</v>
      </c>
      <c r="I35" s="3">
        <f t="shared" si="5"/>
        <v>1342.7024414019472</v>
      </c>
      <c r="J35" s="3">
        <f t="shared" si="6"/>
        <v>187.07039910059123</v>
      </c>
      <c r="K35" s="3">
        <f t="shared" si="7"/>
        <v>737.99122135201105</v>
      </c>
      <c r="L35" t="s">
        <v>32</v>
      </c>
    </row>
    <row r="36" spans="1:12" x14ac:dyDescent="0.3">
      <c r="A36" t="s">
        <v>28</v>
      </c>
      <c r="B36">
        <v>200</v>
      </c>
      <c r="D36" s="3">
        <v>0.60773480662983426</v>
      </c>
      <c r="E36" s="3">
        <v>0.61991060919252738</v>
      </c>
      <c r="F36" s="3">
        <v>0.60773480662983426</v>
      </c>
      <c r="G36" s="3">
        <v>0.60385546769464593</v>
      </c>
      <c r="H36" s="3">
        <f t="shared" si="4"/>
        <v>195.90924673019444</v>
      </c>
      <c r="I36" s="3">
        <f t="shared" si="5"/>
        <v>1369.663543726035</v>
      </c>
      <c r="J36" s="3">
        <f t="shared" si="6"/>
        <v>195.90924673019444</v>
      </c>
      <c r="K36" s="3">
        <f t="shared" si="7"/>
        <v>762.8104611529302</v>
      </c>
      <c r="L36" t="s">
        <v>33</v>
      </c>
    </row>
    <row r="37" spans="1:12" x14ac:dyDescent="0.3">
      <c r="A37" t="s">
        <v>29</v>
      </c>
      <c r="B37">
        <v>200</v>
      </c>
      <c r="D37" s="3">
        <v>0.59905288082083663</v>
      </c>
      <c r="E37" s="3">
        <v>0.61052307590010602</v>
      </c>
      <c r="F37" s="3">
        <v>0.59905288082083663</v>
      </c>
      <c r="G37" s="3">
        <v>0.59583750603520769</v>
      </c>
      <c r="H37" s="3">
        <f t="shared" si="4"/>
        <v>191.68197177690598</v>
      </c>
      <c r="I37" s="3">
        <f t="shared" si="5"/>
        <v>1347.4078906676739</v>
      </c>
      <c r="J37" s="3">
        <f t="shared" si="6"/>
        <v>191.68197177690598</v>
      </c>
      <c r="K37" s="3">
        <f t="shared" si="7"/>
        <v>751.35410848745323</v>
      </c>
      <c r="L37" t="s">
        <v>34</v>
      </c>
    </row>
    <row r="38" spans="1:12" x14ac:dyDescent="0.3">
      <c r="A38" t="s">
        <v>30</v>
      </c>
      <c r="B38">
        <v>200</v>
      </c>
      <c r="D38" s="3">
        <v>0.62115232833464873</v>
      </c>
      <c r="E38" s="3">
        <v>0.6319142962063784</v>
      </c>
      <c r="F38" s="3">
        <v>0.62115232833464873</v>
      </c>
      <c r="G38" s="3">
        <v>0.61840501687730898</v>
      </c>
      <c r="H38" s="3">
        <f t="shared" si="4"/>
        <v>202.44230802164029</v>
      </c>
      <c r="I38" s="3">
        <f t="shared" si="5"/>
        <v>1398.1214873923541</v>
      </c>
      <c r="J38" s="3">
        <f t="shared" si="6"/>
        <v>202.44230802164029</v>
      </c>
      <c r="K38" s="3">
        <f t="shared" si="7"/>
        <v>783.59938153446888</v>
      </c>
      <c r="L38" t="s">
        <v>35</v>
      </c>
    </row>
  </sheetData>
  <conditionalFormatting sqref="H25:H3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{19E1B725-9EFB-4AC0-A5DC-0A1E6DB00B73}</x14:id>
        </ext>
      </extLst>
    </cfRule>
  </conditionalFormatting>
  <conditionalFormatting sqref="I25:I3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{5ED24C64-E352-4FFE-B737-6DFBED6BB6BA}</x14:id>
        </ext>
      </extLst>
    </cfRule>
  </conditionalFormatting>
  <conditionalFormatting sqref="J25:J3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{6418937E-E972-415D-B036-209F5965F82F}</x14:id>
        </ext>
      </extLst>
    </cfRule>
  </conditionalFormatting>
  <conditionalFormatting sqref="K25:K3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{A1AD86E0-EC15-4355-8E9A-90C7ECA23801}</x14:id>
        </ext>
      </extLst>
    </cfRule>
  </conditionalFormatting>
  <conditionalFormatting sqref="H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{028D48FA-5552-4EA7-9736-B406A881099D}</x14:id>
        </ext>
      </extLst>
    </cfRule>
  </conditionalFormatting>
  <conditionalFormatting sqref="I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{65C99C5D-C8DE-429E-8C81-59AE41EE3D9C}</x14:id>
        </ext>
      </extLst>
    </cfRule>
  </conditionalFormatting>
  <conditionalFormatting sqref="J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{093F50A6-ED08-401C-8BC7-43C8F2E6F884}</x14:id>
        </ext>
      </extLst>
    </cfRule>
  </conditionalFormatting>
  <conditionalFormatting sqref="K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{F78CDB41-699F-403D-B1CA-3C7E0C57D8A9}</x14:id>
        </ext>
      </extLst>
    </cfRule>
  </conditionalFormatting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1B725-9EFB-4AC0-A5DC-0A1E6DB00B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H25:H38</xm:sqref>
        </x14:conditionalFormatting>
        <x14:conditionalFormatting xmlns:xm="http://schemas.microsoft.com/office/excel/2006/main">
          <x14:cfRule type="dataBar" id="{5ED24C64-E352-4FFE-B737-6DFBED6BB6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I25:I38</xm:sqref>
        </x14:conditionalFormatting>
        <x14:conditionalFormatting xmlns:xm="http://schemas.microsoft.com/office/excel/2006/main">
          <x14:cfRule type="dataBar" id="{6418937E-E972-415D-B036-209F5965F8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J25:J38</xm:sqref>
        </x14:conditionalFormatting>
        <x14:conditionalFormatting xmlns:xm="http://schemas.microsoft.com/office/excel/2006/main">
          <x14:cfRule type="dataBar" id="{A1AD86E0-EC15-4355-8E9A-90C7ECA238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K25:K38</xm:sqref>
        </x14:conditionalFormatting>
        <x14:conditionalFormatting xmlns:xm="http://schemas.microsoft.com/office/excel/2006/main">
          <x14:cfRule type="dataBar" id="{028D48FA-5552-4EA7-9736-B406A88109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</xm:sqref>
        </x14:conditionalFormatting>
        <x14:conditionalFormatting xmlns:xm="http://schemas.microsoft.com/office/excel/2006/main">
          <x14:cfRule type="dataBar" id="{65C99C5D-C8DE-429E-8C81-59AE41EE3D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  <x14:conditionalFormatting xmlns:xm="http://schemas.microsoft.com/office/excel/2006/main">
          <x14:cfRule type="dataBar" id="{093F50A6-ED08-401C-8BC7-43C8F2E6F8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F78CDB41-699F-403D-B1CA-3C7E0C57D8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Ivanov</cp:lastModifiedBy>
  <dcterms:created xsi:type="dcterms:W3CDTF">2026-02-10T21:04:20Z</dcterms:created>
  <dcterms:modified xsi:type="dcterms:W3CDTF">2026-02-12T13:18:18Z</dcterms:modified>
</cp:coreProperties>
</file>